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jhebljr_middlebury_edu/Documents/MIIS_Fall 2024/Intro Network Analysis/Final Project/Country Immigration Data Excels/"/>
    </mc:Choice>
  </mc:AlternateContent>
  <xr:revisionPtr revIDLastSave="95" documentId="8_{827B4606-90A7-4806-B8CA-049529195E71}" xr6:coauthVersionLast="47" xr6:coauthVersionMax="47" xr10:uidLastSave="{EE1B135B-C00C-42E2-A930-2FAFB684867F}"/>
  <bookViews>
    <workbookView xWindow="-110" yWindow="-110" windowWidth="19420" windowHeight="10300" xr2:uid="{3F608A16-6D24-4F8C-AD8A-F14D4231154F}"/>
  </bookViews>
  <sheets>
    <sheet name="NetData" sheetId="1" r:id="rId1"/>
    <sheet name="Net_Per1000" sheetId="2" r:id="rId2"/>
    <sheet name="CountryPop90" sheetId="6" r:id="rId3"/>
    <sheet name="CountryPop00" sheetId="5" r:id="rId4"/>
    <sheet name="CountryPop10" sheetId="4" r:id="rId5"/>
    <sheet name="CountryPop20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G19" i="1"/>
  <c r="J19" i="1"/>
  <c r="M19" i="1"/>
  <c r="I23" i="1"/>
  <c r="I24" i="1" s="1"/>
  <c r="B22" i="3"/>
  <c r="B22" i="4"/>
  <c r="B22" i="5"/>
  <c r="B22" i="6"/>
  <c r="L3" i="2"/>
  <c r="L4" i="2"/>
  <c r="L5" i="2"/>
  <c r="L6" i="2"/>
  <c r="L7" i="2"/>
  <c r="L8" i="2"/>
  <c r="L9" i="2"/>
  <c r="L10" i="2"/>
  <c r="L11" i="2"/>
  <c r="L12" i="2"/>
  <c r="L13" i="2"/>
  <c r="L14" i="2"/>
  <c r="L15" i="2"/>
  <c r="M15" i="2" s="1"/>
  <c r="L16" i="2"/>
  <c r="L17" i="2"/>
  <c r="L18" i="2"/>
  <c r="L19" i="2"/>
  <c r="L20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M19" i="2" s="1"/>
  <c r="K20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H3" i="2"/>
  <c r="H4" i="2"/>
  <c r="H5" i="2"/>
  <c r="H6" i="2"/>
  <c r="H7" i="2"/>
  <c r="J7" i="2" s="1"/>
  <c r="H8" i="2"/>
  <c r="H9" i="2"/>
  <c r="H10" i="2"/>
  <c r="H11" i="2"/>
  <c r="H12" i="2"/>
  <c r="H13" i="2"/>
  <c r="H14" i="2"/>
  <c r="H15" i="2"/>
  <c r="J15" i="2" s="1"/>
  <c r="H16" i="2"/>
  <c r="J16" i="2" s="1"/>
  <c r="H17" i="2"/>
  <c r="H18" i="2"/>
  <c r="H19" i="2"/>
  <c r="H20" i="2"/>
  <c r="F3" i="2"/>
  <c r="F4" i="2"/>
  <c r="F5" i="2"/>
  <c r="F6" i="2"/>
  <c r="F7" i="2"/>
  <c r="F8" i="2"/>
  <c r="F9" i="2"/>
  <c r="F10" i="2"/>
  <c r="F11" i="2"/>
  <c r="F12" i="2"/>
  <c r="F13" i="2"/>
  <c r="F14" i="2"/>
  <c r="G14" i="2" s="1"/>
  <c r="F15" i="2"/>
  <c r="G15" i="2" s="1"/>
  <c r="F16" i="2"/>
  <c r="F17" i="2"/>
  <c r="F18" i="2"/>
  <c r="F19" i="2"/>
  <c r="F20" i="2"/>
  <c r="E3" i="2"/>
  <c r="G3" i="2" s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G18" i="2" s="1"/>
  <c r="E19" i="2"/>
  <c r="E20" i="2"/>
  <c r="L2" i="2"/>
  <c r="K2" i="2"/>
  <c r="I2" i="2"/>
  <c r="H2" i="2"/>
  <c r="F2" i="2"/>
  <c r="E2" i="2"/>
  <c r="B22" i="1"/>
  <c r="B23" i="1" s="1"/>
  <c r="B24" i="1" s="1"/>
  <c r="C22" i="1"/>
  <c r="C23" i="1" s="1"/>
  <c r="C24" i="1" s="1"/>
  <c r="E22" i="1"/>
  <c r="E23" i="1" s="1"/>
  <c r="E24" i="1" s="1"/>
  <c r="F22" i="1"/>
  <c r="F23" i="1" s="1"/>
  <c r="F24" i="1" s="1"/>
  <c r="H22" i="1"/>
  <c r="H23" i="1" s="1"/>
  <c r="H24" i="1" s="1"/>
  <c r="I22" i="1"/>
  <c r="K22" i="1"/>
  <c r="K23" i="1" s="1"/>
  <c r="K24" i="1" s="1"/>
  <c r="L22" i="1"/>
  <c r="L23" i="1" s="1"/>
  <c r="L24" i="1" s="1"/>
  <c r="M3" i="2"/>
  <c r="J4" i="2"/>
  <c r="G6" i="2"/>
  <c r="M6" i="2"/>
  <c r="M8" i="2"/>
  <c r="J12" i="2"/>
  <c r="J13" i="2"/>
  <c r="M16" i="2"/>
  <c r="J19" i="2"/>
  <c r="J20" i="2"/>
  <c r="C3" i="2"/>
  <c r="C4" i="2"/>
  <c r="C5" i="2"/>
  <c r="C6" i="2"/>
  <c r="D6" i="2" s="1"/>
  <c r="C7" i="2"/>
  <c r="C8" i="2"/>
  <c r="D8" i="2" s="1"/>
  <c r="C9" i="2"/>
  <c r="C10" i="2"/>
  <c r="C11" i="2"/>
  <c r="C12" i="2"/>
  <c r="C13" i="2"/>
  <c r="D13" i="2" s="1"/>
  <c r="C14" i="2"/>
  <c r="D14" i="2" s="1"/>
  <c r="C15" i="2"/>
  <c r="D15" i="2" s="1"/>
  <c r="C16" i="2"/>
  <c r="D16" i="2" s="1"/>
  <c r="C17" i="2"/>
  <c r="C18" i="2"/>
  <c r="C19" i="2"/>
  <c r="C20" i="2"/>
  <c r="C2" i="2"/>
  <c r="B2" i="2"/>
  <c r="B3" i="2"/>
  <c r="D3" i="2" s="1"/>
  <c r="B4" i="2"/>
  <c r="B5" i="2"/>
  <c r="B6" i="2"/>
  <c r="B7" i="2"/>
  <c r="B8" i="2"/>
  <c r="B9" i="2"/>
  <c r="B10" i="2"/>
  <c r="B11" i="2"/>
  <c r="D11" i="2" s="1"/>
  <c r="B12" i="2"/>
  <c r="D12" i="2" s="1"/>
  <c r="B13" i="2"/>
  <c r="B14" i="2"/>
  <c r="B15" i="2"/>
  <c r="B16" i="2"/>
  <c r="B17" i="2"/>
  <c r="B18" i="2"/>
  <c r="B19" i="2"/>
  <c r="D19" i="2" s="1"/>
  <c r="B20" i="2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20" i="1"/>
  <c r="M21" i="1"/>
  <c r="M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0" i="1"/>
  <c r="J21" i="1"/>
  <c r="J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0" i="1"/>
  <c r="G21" i="1"/>
  <c r="G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0" i="1"/>
  <c r="D21" i="1"/>
  <c r="D3" i="1"/>
  <c r="G13" i="2" l="1"/>
  <c r="G5" i="2"/>
  <c r="M5" i="2"/>
  <c r="D2" i="2"/>
  <c r="D5" i="2"/>
  <c r="M20" i="2"/>
  <c r="M12" i="2"/>
  <c r="D20" i="2"/>
  <c r="D4" i="2"/>
  <c r="M18" i="2"/>
  <c r="M10" i="2"/>
  <c r="G9" i="2"/>
  <c r="D18" i="2"/>
  <c r="D10" i="2"/>
  <c r="J17" i="2"/>
  <c r="D17" i="2"/>
  <c r="D9" i="2"/>
  <c r="J10" i="2"/>
  <c r="M17" i="2"/>
  <c r="M9" i="2"/>
  <c r="J8" i="2"/>
  <c r="G8" i="2"/>
  <c r="M2" i="2"/>
  <c r="O3" i="2" s="1"/>
  <c r="G10" i="2"/>
  <c r="G19" i="2"/>
  <c r="G7" i="2"/>
  <c r="G11" i="2"/>
  <c r="G2" i="2"/>
  <c r="G20" i="2"/>
  <c r="M11" i="2"/>
  <c r="G17" i="2"/>
  <c r="M14" i="2"/>
  <c r="J6" i="2"/>
  <c r="D7" i="2"/>
  <c r="M4" i="2"/>
  <c r="G4" i="2"/>
  <c r="J14" i="2"/>
  <c r="G12" i="2"/>
  <c r="J3" i="2"/>
  <c r="J2" i="2"/>
  <c r="J9" i="2"/>
  <c r="J18" i="2"/>
  <c r="G16" i="2"/>
  <c r="M13" i="2"/>
  <c r="J11" i="2"/>
  <c r="M7" i="2"/>
  <c r="J5" i="2"/>
  <c r="R3" i="2" l="1"/>
  <c r="T3" i="2"/>
  <c r="P3" i="2"/>
  <c r="S3" i="2"/>
  <c r="Q3" i="2"/>
</calcChain>
</file>

<file path=xl/sharedStrings.xml><?xml version="1.0" encoding="utf-8"?>
<sst xmlns="http://schemas.openxmlformats.org/spreadsheetml/2006/main" count="167" uniqueCount="50">
  <si>
    <t>Countries</t>
  </si>
  <si>
    <t>Year</t>
  </si>
  <si>
    <t>Argentina</t>
  </si>
  <si>
    <t>Bolivia</t>
  </si>
  <si>
    <t>Brazil</t>
  </si>
  <si>
    <t>Canada</t>
  </si>
  <si>
    <t>Chile</t>
  </si>
  <si>
    <t>Colombia</t>
  </si>
  <si>
    <t>Costa Rica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</si>
  <si>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</si>
  <si>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</si>
  <si>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</si>
  <si>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</si>
  <si>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</si>
  <si>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</si>
  <si>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</si>
  <si>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</si>
  <si>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</si>
  <si>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United States</t>
  </si>
  <si>
    <t>Uruguay</t>
  </si>
  <si>
    <t>Venezuela</t>
  </si>
  <si>
    <t>Net In</t>
  </si>
  <si>
    <t>Net Out</t>
  </si>
  <si>
    <t>NetNet</t>
  </si>
  <si>
    <t>Country</t>
  </si>
  <si>
    <t>Population</t>
  </si>
  <si>
    <t>Population (in thousands)</t>
  </si>
  <si>
    <t>Population per 1000</t>
  </si>
  <si>
    <t>Per 1000</t>
  </si>
  <si>
    <t>NetIn_90</t>
  </si>
  <si>
    <t>NetOut_90</t>
  </si>
  <si>
    <t>NetNet_90</t>
  </si>
  <si>
    <t>NetOut_00</t>
  </si>
  <si>
    <t>NetIn_00</t>
  </si>
  <si>
    <t>NetNet_00</t>
  </si>
  <si>
    <t>NetOut_10</t>
  </si>
  <si>
    <t>NetIn_10</t>
  </si>
  <si>
    <t>NetNet_10</t>
  </si>
  <si>
    <t>NetOut_20</t>
  </si>
  <si>
    <t>NetIn_20</t>
  </si>
  <si>
    <t>NetNet_20</t>
  </si>
  <si>
    <t>Correlation</t>
  </si>
  <si>
    <t>90_20</t>
  </si>
  <si>
    <t>90_10</t>
  </si>
  <si>
    <t>90_00</t>
  </si>
  <si>
    <t>00_20</t>
  </si>
  <si>
    <t>00_10</t>
  </si>
  <si>
    <t>10_20</t>
  </si>
  <si>
    <t>Sum</t>
  </si>
  <si>
    <t>Per 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</si>
</sst>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242424"/>
      <name val="Arial Unicode MS"/>
    </font>
    <font>
      <sz val="10"/>
      <color rgb="FF242424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center"/>
    </xf>
    <xf numFmtId="166" fontId="0" fillId="0" borderId="0" xfId="0" applyNumberFormat="1"/>
    <xf numFmtId="0" fontId="1" fillId="2" borderId="3" xfId="0" applyFont="1" applyFill="1" applyBorder="1" applyAlignment="1">
      <alignment horizontal="center" vertical="top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B60F5-945E-49BD-9173-B249C4EFD4DE}">
  <dimension ref="A1:M24"/>
  <sheetViews>
    <sheetView tabSelected="1" zoomScale="90" zoomScaleNormal="90" workbookViewId="0">
      <pane ySplit="2" topLeftCell="A6" activePane="bottomLeft" state="frozen"/>
      <selection pane="bottomLeft" activeCell="B10" sqref="B10"/>
    </sheetView>
  </sheetViews>
  <sheetFormatPr defaultRowHeight="14.5"/>
  <cols>
    <col min="1" max="1" width="15.1796875" customWidth="1"/>
    <col min="10" max="10" width="10.26953125" customWidth="1"/>
    <col min="13" max="13" width="10.90625" customWidth="1"/>
  </cols>
  <sheetData>
    <row r="1" spans="1:13">
      <c r="A1" t="s">
        <v>1</v>
      </c>
      <c r="B1" s="6">
        <v>1990</v>
      </c>
      <c r="C1" s="6"/>
      <c r="D1" s="6"/>
      <c r="E1" s="6">
        <v>2000</v>
      </c>
      <c r="F1" s="6"/>
      <c r="G1" s="6"/>
      <c r="H1" s="6">
        <v>2010</v>
      </c>
      <c r="I1" s="6"/>
      <c r="J1" s="6"/>
      <c r="K1" s="6">
        <v>2020</v>
      </c>
      <c r="L1" s="6"/>
      <c r="M1" s="6"/>
    </row>
    <row r="2" spans="1:13">
      <c r="A2" t="s">
        <v>0</v>
      </c>
      <c r="B2" t="s">
        <v>22</v>
      </c>
      <c r="C2" t="s">
        <v>21</v>
      </c>
      <c r="D2" t="s">
        <v>23</v>
      </c>
      <c r="E2" t="s">
        <v>22</v>
      </c>
      <c r="F2" t="s">
        <v>21</v>
      </c>
      <c r="G2" t="s">
        <v>23</v>
      </c>
      <c r="H2" t="s">
        <v>22</v>
      </c>
      <c r="I2" t="s">
        <v>21</v>
      </c>
      <c r="J2" t="s">
        <v>23</v>
      </c>
      <c r="K2" t="s">
        <v>22</v>
      </c>
      <c r="L2" t="s">
        <v>21</v>
      </c>
      <c r="M2" t="s">
        <v>23</v>
      </c>
    </row>
    <row r="3" spans="1:13">
      <c r="A3" s="1" t="s">
        <v>2</v>
      </c>
      <c r="B3">
        <v>103684</v>
      </c>
      <c r="C3">
        <v>660924</v>
      </c>
      <c r="D3">
        <f>C3-B3</f>
        <v>557240</v>
      </c>
      <c r="E3">
        <v>143807</v>
      </c>
      <c r="F3">
        <v>784534</v>
      </c>
      <c r="G3">
        <f>F3-E3</f>
        <v>640727</v>
      </c>
      <c r="H3">
        <v>226403</v>
      </c>
      <c r="I3">
        <v>1244491</v>
      </c>
      <c r="J3">
        <f>I3-H3</f>
        <v>1018088</v>
      </c>
      <c r="K3">
        <v>260056</v>
      </c>
      <c r="L3">
        <v>1589110</v>
      </c>
      <c r="M3">
        <f>L3-K3</f>
        <v>1329054</v>
      </c>
    </row>
    <row r="4" spans="1:13">
      <c r="A4" s="1" t="s">
        <v>3</v>
      </c>
      <c r="B4">
        <v>173992</v>
      </c>
      <c r="C4">
        <v>10994</v>
      </c>
      <c r="D4">
        <f t="shared" ref="D4:D21" si="0">C4-B4</f>
        <v>-162998</v>
      </c>
      <c r="E4">
        <v>274525</v>
      </c>
      <c r="F4">
        <v>15643</v>
      </c>
      <c r="G4">
        <f t="shared" ref="G4:G21" si="1">F4-E4</f>
        <v>-258882</v>
      </c>
      <c r="H4">
        <v>446361</v>
      </c>
      <c r="I4">
        <v>13443</v>
      </c>
      <c r="J4">
        <f t="shared" ref="J4:J21" si="2">I4-H4</f>
        <v>-432918</v>
      </c>
      <c r="K4">
        <v>614280</v>
      </c>
      <c r="L4">
        <v>18824</v>
      </c>
      <c r="M4">
        <f t="shared" ref="M4:M21" si="3">L4-K4</f>
        <v>-595456</v>
      </c>
    </row>
    <row r="5" spans="1:13">
      <c r="A5" s="1" t="s">
        <v>4</v>
      </c>
      <c r="B5">
        <v>177082</v>
      </c>
      <c r="C5">
        <v>50217</v>
      </c>
      <c r="D5">
        <f t="shared" si="0"/>
        <v>-126865</v>
      </c>
      <c r="E5">
        <v>280302</v>
      </c>
      <c r="F5">
        <v>50715</v>
      </c>
      <c r="G5">
        <f t="shared" si="1"/>
        <v>-229587</v>
      </c>
      <c r="H5">
        <v>407558</v>
      </c>
      <c r="I5">
        <v>46772</v>
      </c>
      <c r="J5">
        <f t="shared" si="2"/>
        <v>-360786</v>
      </c>
      <c r="K5">
        <v>573206</v>
      </c>
      <c r="L5">
        <v>286623</v>
      </c>
      <c r="M5">
        <f t="shared" si="3"/>
        <v>-286583</v>
      </c>
    </row>
    <row r="6" spans="1:13">
      <c r="A6" s="1" t="s">
        <v>5</v>
      </c>
      <c r="B6">
        <v>506052</v>
      </c>
      <c r="C6">
        <v>131174</v>
      </c>
      <c r="D6">
        <f t="shared" si="0"/>
        <v>-374878</v>
      </c>
      <c r="E6">
        <v>585660</v>
      </c>
      <c r="F6">
        <v>188333</v>
      </c>
      <c r="G6">
        <f t="shared" si="1"/>
        <v>-397327</v>
      </c>
      <c r="H6">
        <v>605497</v>
      </c>
      <c r="I6">
        <v>300776</v>
      </c>
      <c r="J6">
        <f t="shared" si="2"/>
        <v>-304721</v>
      </c>
      <c r="K6">
        <v>520671</v>
      </c>
      <c r="L6">
        <v>367734</v>
      </c>
      <c r="M6">
        <f t="shared" si="3"/>
        <v>-152937</v>
      </c>
    </row>
    <row r="7" spans="1:13">
      <c r="A7" s="1" t="s">
        <v>6</v>
      </c>
      <c r="B7">
        <v>311424</v>
      </c>
      <c r="C7">
        <v>6436</v>
      </c>
      <c r="D7">
        <f t="shared" si="0"/>
        <v>-304988</v>
      </c>
      <c r="E7">
        <v>268755</v>
      </c>
      <c r="F7">
        <v>44344</v>
      </c>
      <c r="G7">
        <f t="shared" si="1"/>
        <v>-224411</v>
      </c>
      <c r="H7">
        <v>228806</v>
      </c>
      <c r="I7">
        <v>162721</v>
      </c>
      <c r="J7">
        <f t="shared" si="2"/>
        <v>-66085</v>
      </c>
      <c r="K7">
        <v>209264</v>
      </c>
      <c r="L7">
        <v>1066219</v>
      </c>
      <c r="M7">
        <f t="shared" si="3"/>
        <v>856955</v>
      </c>
    </row>
    <row r="8" spans="1:13">
      <c r="A8" s="1" t="s">
        <v>7</v>
      </c>
      <c r="B8">
        <v>851080</v>
      </c>
      <c r="C8">
        <v>665</v>
      </c>
      <c r="D8">
        <f t="shared" si="0"/>
        <v>-850415</v>
      </c>
      <c r="E8">
        <v>1140346</v>
      </c>
      <c r="F8">
        <v>0</v>
      </c>
      <c r="G8">
        <f t="shared" si="1"/>
        <v>-1140346</v>
      </c>
      <c r="H8">
        <v>1888990</v>
      </c>
      <c r="I8">
        <v>1664</v>
      </c>
      <c r="J8">
        <f t="shared" si="2"/>
        <v>-1887326</v>
      </c>
      <c r="K8">
        <v>1327716</v>
      </c>
      <c r="L8">
        <v>862930</v>
      </c>
      <c r="M8">
        <f t="shared" si="3"/>
        <v>-464786</v>
      </c>
    </row>
    <row r="9" spans="1:13">
      <c r="A9" s="1" t="s">
        <v>8</v>
      </c>
      <c r="B9">
        <v>36061</v>
      </c>
      <c r="C9">
        <v>164565</v>
      </c>
      <c r="D9">
        <f t="shared" si="0"/>
        <v>128504</v>
      </c>
      <c r="E9">
        <v>66837</v>
      </c>
      <c r="F9">
        <v>250321</v>
      </c>
      <c r="G9">
        <f t="shared" si="1"/>
        <v>183484</v>
      </c>
      <c r="H9">
        <v>80901</v>
      </c>
      <c r="I9">
        <v>326718</v>
      </c>
      <c r="J9">
        <f t="shared" si="2"/>
        <v>245817</v>
      </c>
      <c r="K9">
        <v>84257</v>
      </c>
      <c r="L9">
        <v>423155</v>
      </c>
      <c r="M9">
        <f t="shared" si="3"/>
        <v>338898</v>
      </c>
    </row>
    <row r="10" spans="1:13">
      <c r="A10" s="1" t="s">
        <v>9</v>
      </c>
      <c r="B10">
        <v>165419</v>
      </c>
      <c r="C10">
        <v>33297</v>
      </c>
      <c r="D10">
        <f t="shared" si="0"/>
        <v>-132122</v>
      </c>
      <c r="E10">
        <v>334017</v>
      </c>
      <c r="F10">
        <v>62869</v>
      </c>
      <c r="G10">
        <f t="shared" si="1"/>
        <v>-271148</v>
      </c>
      <c r="H10">
        <v>465029</v>
      </c>
      <c r="I10">
        <v>218126</v>
      </c>
      <c r="J10">
        <f t="shared" si="2"/>
        <v>-246903</v>
      </c>
      <c r="K10">
        <v>445171</v>
      </c>
      <c r="L10">
        <v>546575</v>
      </c>
      <c r="M10">
        <f t="shared" si="3"/>
        <v>101404</v>
      </c>
    </row>
    <row r="11" spans="1:13">
      <c r="A11" s="1" t="s">
        <v>10</v>
      </c>
      <c r="B11">
        <v>1176084</v>
      </c>
      <c r="C11">
        <v>894</v>
      </c>
      <c r="D11">
        <f t="shared" si="0"/>
        <v>-1175190</v>
      </c>
      <c r="E11">
        <v>893850</v>
      </c>
      <c r="F11">
        <v>5545</v>
      </c>
      <c r="G11">
        <f t="shared" si="1"/>
        <v>-888305</v>
      </c>
      <c r="H11">
        <v>1262342</v>
      </c>
      <c r="I11">
        <v>10518</v>
      </c>
      <c r="J11">
        <f t="shared" si="2"/>
        <v>-1251824</v>
      </c>
      <c r="K11">
        <v>1504352</v>
      </c>
      <c r="L11">
        <v>8384</v>
      </c>
      <c r="M11">
        <f t="shared" si="3"/>
        <v>-1495968</v>
      </c>
    </row>
    <row r="12" spans="1:13">
      <c r="A12" s="1" t="s">
        <v>11</v>
      </c>
      <c r="B12">
        <v>297067</v>
      </c>
      <c r="C12">
        <v>233497</v>
      </c>
      <c r="D12">
        <f t="shared" si="0"/>
        <v>-63570</v>
      </c>
      <c r="E12">
        <v>521454</v>
      </c>
      <c r="F12">
        <v>12606</v>
      </c>
      <c r="G12">
        <f t="shared" si="1"/>
        <v>-508848</v>
      </c>
      <c r="H12">
        <v>845746</v>
      </c>
      <c r="I12">
        <v>19129</v>
      </c>
      <c r="J12">
        <f t="shared" si="2"/>
        <v>-826617</v>
      </c>
      <c r="K12">
        <v>1267215</v>
      </c>
      <c r="L12">
        <v>24394</v>
      </c>
      <c r="M12">
        <f t="shared" si="3"/>
        <v>-1242821</v>
      </c>
    </row>
    <row r="13" spans="1:13">
      <c r="A13" s="1" t="s">
        <v>12</v>
      </c>
      <c r="B13">
        <v>113927</v>
      </c>
      <c r="C13">
        <v>232612</v>
      </c>
      <c r="D13">
        <f t="shared" si="0"/>
        <v>118685</v>
      </c>
      <c r="E13">
        <v>304637</v>
      </c>
      <c r="F13">
        <v>712</v>
      </c>
      <c r="G13">
        <f t="shared" si="1"/>
        <v>-303925</v>
      </c>
      <c r="H13">
        <v>520929</v>
      </c>
      <c r="I13">
        <v>463</v>
      </c>
      <c r="J13">
        <f t="shared" si="2"/>
        <v>-520466</v>
      </c>
      <c r="K13">
        <v>829085</v>
      </c>
      <c r="L13">
        <v>485</v>
      </c>
      <c r="M13">
        <f t="shared" si="3"/>
        <v>-828600</v>
      </c>
    </row>
    <row r="14" spans="1:13">
      <c r="A14" s="1" t="s">
        <v>13</v>
      </c>
      <c r="B14">
        <v>4126095</v>
      </c>
      <c r="C14">
        <v>403406</v>
      </c>
      <c r="D14">
        <f t="shared" si="0"/>
        <v>-3722689</v>
      </c>
      <c r="E14">
        <v>9096017</v>
      </c>
      <c r="F14">
        <v>48773</v>
      </c>
      <c r="G14">
        <f t="shared" si="1"/>
        <v>-9047244</v>
      </c>
      <c r="H14">
        <v>11496358</v>
      </c>
      <c r="I14">
        <v>76521</v>
      </c>
      <c r="J14">
        <f t="shared" si="2"/>
        <v>-11419837</v>
      </c>
      <c r="K14">
        <v>10149384</v>
      </c>
      <c r="L14">
        <v>187229</v>
      </c>
      <c r="M14">
        <f t="shared" si="3"/>
        <v>-9962155</v>
      </c>
    </row>
    <row r="15" spans="1:13">
      <c r="A15" s="1" t="s">
        <v>14</v>
      </c>
      <c r="B15">
        <v>408340</v>
      </c>
      <c r="C15">
        <v>9165</v>
      </c>
      <c r="D15">
        <f t="shared" si="0"/>
        <v>-399175</v>
      </c>
      <c r="E15">
        <v>472432</v>
      </c>
      <c r="F15">
        <v>4317</v>
      </c>
      <c r="G15">
        <f t="shared" si="1"/>
        <v>-468115</v>
      </c>
      <c r="H15">
        <v>564364</v>
      </c>
      <c r="I15">
        <v>6222</v>
      </c>
      <c r="J15">
        <f t="shared" si="2"/>
        <v>-558142</v>
      </c>
      <c r="K15">
        <v>634901</v>
      </c>
      <c r="L15">
        <v>5357</v>
      </c>
      <c r="M15">
        <f t="shared" si="3"/>
        <v>-629544</v>
      </c>
    </row>
    <row r="16" spans="1:13">
      <c r="A16" s="1" t="s">
        <v>15</v>
      </c>
      <c r="B16">
        <v>113742</v>
      </c>
      <c r="C16">
        <v>22595</v>
      </c>
      <c r="D16">
        <f t="shared" si="0"/>
        <v>-91147</v>
      </c>
      <c r="E16">
        <v>111012</v>
      </c>
      <c r="F16">
        <v>31555</v>
      </c>
      <c r="G16">
        <f t="shared" si="1"/>
        <v>-79457</v>
      </c>
      <c r="H16">
        <v>101079</v>
      </c>
      <c r="I16">
        <v>78489</v>
      </c>
      <c r="J16">
        <f t="shared" si="2"/>
        <v>-22590</v>
      </c>
      <c r="K16">
        <v>87931</v>
      </c>
      <c r="L16">
        <v>203889</v>
      </c>
      <c r="M16">
        <f t="shared" si="3"/>
        <v>115958</v>
      </c>
    </row>
    <row r="17" spans="1:13">
      <c r="A17" s="1" t="s">
        <v>16</v>
      </c>
      <c r="B17">
        <v>215929</v>
      </c>
      <c r="C17">
        <v>96601</v>
      </c>
      <c r="D17">
        <f t="shared" si="0"/>
        <v>-119328</v>
      </c>
      <c r="E17">
        <v>265678</v>
      </c>
      <c r="F17">
        <v>56985</v>
      </c>
      <c r="G17">
        <f t="shared" si="1"/>
        <v>-208693</v>
      </c>
      <c r="H17">
        <v>567334</v>
      </c>
      <c r="I17">
        <v>39747</v>
      </c>
      <c r="J17">
        <f t="shared" si="2"/>
        <v>-527587</v>
      </c>
      <c r="K17">
        <v>681175</v>
      </c>
      <c r="L17">
        <v>33157</v>
      </c>
      <c r="M17">
        <f t="shared" si="3"/>
        <v>-648018</v>
      </c>
    </row>
    <row r="18" spans="1:13">
      <c r="A18" s="1" t="s">
        <v>17</v>
      </c>
      <c r="B18">
        <v>200511</v>
      </c>
      <c r="C18">
        <v>1145</v>
      </c>
      <c r="D18">
        <f t="shared" si="0"/>
        <v>-199366</v>
      </c>
      <c r="E18">
        <v>454972</v>
      </c>
      <c r="F18">
        <v>543</v>
      </c>
      <c r="G18">
        <f t="shared" si="1"/>
        <v>-454429</v>
      </c>
      <c r="H18">
        <v>783690</v>
      </c>
      <c r="I18">
        <v>2378</v>
      </c>
      <c r="J18">
        <f t="shared" si="2"/>
        <v>-781312</v>
      </c>
      <c r="K18">
        <v>826645</v>
      </c>
      <c r="L18">
        <v>923911</v>
      </c>
      <c r="M18">
        <f t="shared" si="3"/>
        <v>97266</v>
      </c>
    </row>
    <row r="19" spans="1:13">
      <c r="A19" s="1" t="s">
        <v>18</v>
      </c>
      <c r="B19">
        <v>0</v>
      </c>
      <c r="C19">
        <v>6502589</v>
      </c>
      <c r="D19">
        <f t="shared" si="0"/>
        <v>6502589</v>
      </c>
      <c r="E19">
        <v>0</v>
      </c>
      <c r="F19">
        <v>13271588</v>
      </c>
      <c r="G19">
        <f t="shared" si="1"/>
        <v>13271588</v>
      </c>
      <c r="H19">
        <v>0</v>
      </c>
      <c r="I19">
        <v>17333291</v>
      </c>
      <c r="J19">
        <f t="shared" si="2"/>
        <v>17333291</v>
      </c>
      <c r="K19">
        <v>0</v>
      </c>
      <c r="L19">
        <v>17413493</v>
      </c>
      <c r="M19">
        <f t="shared" si="3"/>
        <v>17413493</v>
      </c>
    </row>
    <row r="20" spans="1:13">
      <c r="A20" s="1" t="s">
        <v>19</v>
      </c>
      <c r="B20">
        <v>178894</v>
      </c>
      <c r="C20">
        <v>10345</v>
      </c>
      <c r="D20">
        <f t="shared" si="0"/>
        <v>-168549</v>
      </c>
      <c r="E20">
        <v>123136</v>
      </c>
      <c r="F20">
        <v>12749</v>
      </c>
      <c r="G20">
        <f t="shared" si="1"/>
        <v>-110387</v>
      </c>
      <c r="H20">
        <v>169314</v>
      </c>
      <c r="I20">
        <v>0</v>
      </c>
      <c r="J20">
        <f t="shared" si="2"/>
        <v>-169314</v>
      </c>
      <c r="K20">
        <v>183162</v>
      </c>
      <c r="L20">
        <v>10389</v>
      </c>
      <c r="M20">
        <f t="shared" si="3"/>
        <v>-172773</v>
      </c>
    </row>
    <row r="21" spans="1:13">
      <c r="A21" s="1" t="s">
        <v>20</v>
      </c>
      <c r="B21">
        <v>32838</v>
      </c>
      <c r="C21">
        <v>617100</v>
      </c>
      <c r="D21">
        <f t="shared" si="0"/>
        <v>584262</v>
      </c>
      <c r="E21">
        <v>105224</v>
      </c>
      <c r="F21">
        <v>600529</v>
      </c>
      <c r="G21">
        <f t="shared" si="1"/>
        <v>495305</v>
      </c>
      <c r="H21">
        <v>199937</v>
      </c>
      <c r="I21">
        <v>979169</v>
      </c>
      <c r="J21">
        <f t="shared" si="2"/>
        <v>779232</v>
      </c>
      <c r="K21">
        <v>3776131</v>
      </c>
      <c r="L21">
        <v>2744</v>
      </c>
      <c r="M21">
        <f t="shared" si="3"/>
        <v>-3773387</v>
      </c>
    </row>
    <row r="22" spans="1:13">
      <c r="A22" s="9" t="s">
        <v>48</v>
      </c>
      <c r="B22">
        <f>SUM(B3:B21)</f>
        <v>9188221</v>
      </c>
      <c r="C22">
        <f>SUM(C3:C21)</f>
        <v>9188221</v>
      </c>
      <c r="E22">
        <f>SUM(E3:E21)</f>
        <v>15442661</v>
      </c>
      <c r="F22">
        <f>SUM(F3:F21)</f>
        <v>15442661</v>
      </c>
      <c r="H22">
        <f>SUM(H3:H21)</f>
        <v>20860638</v>
      </c>
      <c r="I22">
        <f>SUM(I3:I21)</f>
        <v>20860638</v>
      </c>
      <c r="K22">
        <f>SUM(K3:K21)</f>
        <v>23974602</v>
      </c>
      <c r="L22">
        <f>SUM(L3:L21)</f>
        <v>23974602</v>
      </c>
    </row>
    <row r="23" spans="1:13">
      <c r="A23" s="9" t="s">
        <v>49</v>
      </c>
      <c r="B23">
        <f>B22/CountryPop90!$B$22</f>
        <v>1.3487927907872704E-2</v>
      </c>
      <c r="C23">
        <f>C22/CountryPop90!$B$22</f>
        <v>1.3487927907872704E-2</v>
      </c>
      <c r="E23">
        <f>E22/CountryPop00!$B$22</f>
        <v>1.9532271153889044E-2</v>
      </c>
      <c r="F23">
        <f>F22/CountryPop00!$B$22</f>
        <v>1.9532271153889044E-2</v>
      </c>
      <c r="H23">
        <f>H22/CountryPop10!$B$22</f>
        <v>2.3598329609275978E-2</v>
      </c>
      <c r="I23">
        <f>I22/CountryPop10!$B$22</f>
        <v>2.3598329609275978E-2</v>
      </c>
      <c r="K23">
        <f>K22/CountryPop20!$B$22</f>
        <v>2.4565030038438081E-2</v>
      </c>
      <c r="L23">
        <f>L22/CountryPop20!$B$22</f>
        <v>2.4565030038438081E-2</v>
      </c>
    </row>
    <row r="24" spans="1:13">
      <c r="A24" s="9" t="s">
        <v>28</v>
      </c>
      <c r="B24">
        <f>B23*1000</f>
        <v>13.487927907872704</v>
      </c>
      <c r="C24">
        <f t="shared" ref="C24:L24" si="4">C23*1000</f>
        <v>13.487927907872704</v>
      </c>
      <c r="E24">
        <f t="shared" si="4"/>
        <v>19.532271153889045</v>
      </c>
      <c r="F24">
        <f t="shared" si="4"/>
        <v>19.532271153889045</v>
      </c>
      <c r="H24">
        <f t="shared" si="4"/>
        <v>23.598329609275979</v>
      </c>
      <c r="I24">
        <f t="shared" si="4"/>
        <v>23.598329609275979</v>
      </c>
      <c r="K24">
        <f t="shared" si="4"/>
        <v>24.565030038438081</v>
      </c>
      <c r="L24">
        <f t="shared" si="4"/>
        <v>24.565030038438081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AD219-4F4B-486A-A661-0CFC699F9716}">
  <dimension ref="A1:T20"/>
  <sheetViews>
    <sheetView topLeftCell="A10" workbookViewId="0">
      <selection activeCell="O9" sqref="O9"/>
    </sheetView>
  </sheetViews>
  <sheetFormatPr defaultRowHeight="14.5"/>
  <sheetData>
    <row r="1" spans="1:20">
      <c r="A1" t="s">
        <v>0</v>
      </c>
      <c r="B1" t="s">
        <v>30</v>
      </c>
      <c r="C1" t="s">
        <v>29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O1" s="10" t="s">
        <v>41</v>
      </c>
      <c r="P1" s="10"/>
      <c r="Q1" s="10"/>
      <c r="R1" s="10"/>
      <c r="S1" s="10"/>
      <c r="T1" s="10"/>
    </row>
    <row r="2" spans="1:20">
      <c r="A2" s="1" t="s">
        <v>2</v>
      </c>
      <c r="B2">
        <f>NetData!B3/CountryPop90!$C3</f>
        <v>3.1653534172469691</v>
      </c>
      <c r="C2">
        <f>NetData!C3/CountryPop90!$C3</f>
        <v>20.177250510595037</v>
      </c>
      <c r="D2">
        <f>C2-B2</f>
        <v>17.011897093348068</v>
      </c>
      <c r="E2">
        <f>NetData!E3/CountryPop00!$C3</f>
        <v>3.8643270192282295</v>
      </c>
      <c r="F2">
        <f>NetData!F3/CountryPop00!$C3</f>
        <v>21.081699317162585</v>
      </c>
      <c r="G2">
        <f>F2-E2</f>
        <v>17.217372297934354</v>
      </c>
      <c r="H2">
        <f>NetData!H3/CountryPop10!$C3</f>
        <v>5.6435540598452096</v>
      </c>
      <c r="I2">
        <f>NetData!I3/CountryPop10!$C3</f>
        <v>31.021462769887432</v>
      </c>
      <c r="J2">
        <f t="shared" ref="J2" si="0">I2-H2</f>
        <v>25.37790871004222</v>
      </c>
      <c r="K2">
        <f>NetData!K3/CountryPop20!$C3</f>
        <v>5.7310394131268954</v>
      </c>
      <c r="L2">
        <f>NetData!L3/CountryPop20!$C3</f>
        <v>35.020349623904394</v>
      </c>
      <c r="M2">
        <f t="shared" ref="M2" si="1">L2-K2</f>
        <v>29.289310210777501</v>
      </c>
      <c r="O2" s="7" t="s">
        <v>42</v>
      </c>
      <c r="P2" s="7" t="s">
        <v>43</v>
      </c>
      <c r="Q2" s="7" t="s">
        <v>44</v>
      </c>
      <c r="R2" s="7" t="s">
        <v>45</v>
      </c>
      <c r="S2" s="7" t="s">
        <v>46</v>
      </c>
      <c r="T2" s="7" t="s">
        <v>47</v>
      </c>
    </row>
    <row r="3" spans="1:20">
      <c r="A3" s="1" t="s">
        <v>3</v>
      </c>
      <c r="B3">
        <f>NetData!B4/CountryPop90!C4</f>
        <v>24.519062545226713</v>
      </c>
      <c r="C3">
        <f>NetData!C4/CountryPop90!$C4</f>
        <v>1.5492814245610287</v>
      </c>
      <c r="D3">
        <f t="shared" ref="D3:D20" si="2">C3-B3</f>
        <v>-22.969781120665687</v>
      </c>
      <c r="E3">
        <f>NetData!E4/CountryPop00!$C4</f>
        <v>31.89805172358701</v>
      </c>
      <c r="F3">
        <f>NetData!F4/CountryPop00!$C4</f>
        <v>1.8176166946983758</v>
      </c>
      <c r="G3">
        <f t="shared" ref="G3:G20" si="3">F3-E3</f>
        <v>-30.080435028888633</v>
      </c>
      <c r="H3">
        <f>NetData!H4/CountryPop10!$C4</f>
        <v>43.836758624855079</v>
      </c>
      <c r="I3">
        <f>NetData!I4/CountryPop10!$C4</f>
        <v>1.3202263329321489</v>
      </c>
      <c r="J3">
        <f t="shared" ref="J3:J20" si="4">I3-H3</f>
        <v>-42.516532291922928</v>
      </c>
      <c r="K3">
        <f>NetData!K4/CountryPop20!$C4</f>
        <v>51.985820602542297</v>
      </c>
      <c r="L3">
        <f>NetData!L4/CountryPop20!$C4</f>
        <v>1.5930537979785377</v>
      </c>
      <c r="M3">
        <f t="shared" ref="M3:M20" si="5">L3-K3</f>
        <v>-50.392766804563763</v>
      </c>
      <c r="O3" s="8">
        <f>CORREL(D2:D20,M2:M20)</f>
        <v>0.67461669712149763</v>
      </c>
      <c r="P3" s="8">
        <f>CORREL(D2:D20,J2:J20)</f>
        <v>0.86205517218881988</v>
      </c>
      <c r="Q3" s="8">
        <f>CORREL(D2:D20,G2:G20)</f>
        <v>0.87032641476913675</v>
      </c>
      <c r="R3" s="8">
        <f>CORREL(G2:G20,M2:M20)</f>
        <v>0.75855259971134226</v>
      </c>
      <c r="S3" s="8">
        <f>CORREL(G2:G20,J2:J20)</f>
        <v>0.97338180175160594</v>
      </c>
      <c r="T3" s="8">
        <f>CORREL(J2:J20,M2:M20)</f>
        <v>0.81731598927510885</v>
      </c>
    </row>
    <row r="4" spans="1:20">
      <c r="A4" s="1" t="s">
        <v>4</v>
      </c>
      <c r="B4">
        <f>NetData!B5/CountryPop90!C5</f>
        <v>1.1873285050303626</v>
      </c>
      <c r="C4">
        <f>NetData!C5/CountryPop90!$C5</f>
        <v>0.33670319703363255</v>
      </c>
      <c r="D4">
        <f t="shared" si="2"/>
        <v>-0.85062530799673008</v>
      </c>
      <c r="E4">
        <f>NetData!E5/CountryPop00!$C5</f>
        <v>1.6107618026637098</v>
      </c>
      <c r="F4">
        <f>NetData!F5/CountryPop00!$C5</f>
        <v>0.29143489815302798</v>
      </c>
      <c r="G4">
        <f t="shared" si="3"/>
        <v>-1.3193269045106819</v>
      </c>
      <c r="H4">
        <f>NetData!H5/CountryPop10!$C5</f>
        <v>2.1365431726665358</v>
      </c>
      <c r="I4">
        <f>NetData!I5/CountryPop10!$C5</f>
        <v>0.24519307011998098</v>
      </c>
      <c r="J4">
        <f t="shared" si="4"/>
        <v>-1.8913501025465549</v>
      </c>
      <c r="K4">
        <f>NetData!K5/CountryPop20!$C5</f>
        <v>2.7063550519357884</v>
      </c>
      <c r="L4">
        <f>NetData!L5/CountryPop20!$C5</f>
        <v>1.3532719546742209</v>
      </c>
      <c r="M4">
        <f t="shared" si="5"/>
        <v>-1.3530830972615675</v>
      </c>
    </row>
    <row r="5" spans="1:20">
      <c r="A5" s="1" t="s">
        <v>5</v>
      </c>
      <c r="B5">
        <f>NetData!B6/CountryPop90!C6</f>
        <v>18.210225307870523</v>
      </c>
      <c r="C5">
        <f>NetData!C6/CountryPop90!$C6</f>
        <v>4.7202818969880722</v>
      </c>
      <c r="D5">
        <f t="shared" si="2"/>
        <v>-13.48994341088245</v>
      </c>
      <c r="E5">
        <f>NetData!E6/CountryPop00!$C6</f>
        <v>18.958427870280925</v>
      </c>
      <c r="F5">
        <f>NetData!F6/CountryPop00!$C6</f>
        <v>6.0965365503766984</v>
      </c>
      <c r="G5">
        <f t="shared" si="3"/>
        <v>-12.861891319904228</v>
      </c>
      <c r="H5">
        <f>NetData!H6/CountryPop10!$C6</f>
        <v>17.706196626372368</v>
      </c>
      <c r="I5">
        <f>NetData!I6/CountryPop10!$C6</f>
        <v>8.7954176428516995</v>
      </c>
      <c r="J5">
        <f t="shared" si="4"/>
        <v>-8.9107789835206681</v>
      </c>
      <c r="K5">
        <f>NetData!K6/CountryPop20!$C6</f>
        <v>13.699979986969165</v>
      </c>
      <c r="L5">
        <f>NetData!L6/CountryPop20!$C6</f>
        <v>9.675876783089743</v>
      </c>
      <c r="M5">
        <f t="shared" si="5"/>
        <v>-4.024103203879422</v>
      </c>
    </row>
    <row r="6" spans="1:20">
      <c r="A6" s="1" t="s">
        <v>6</v>
      </c>
      <c r="B6">
        <f>NetData!B7/CountryPop90!C7</f>
        <v>23.176298353165876</v>
      </c>
      <c r="C6">
        <f>NetData!C7/CountryPop90!$C7</f>
        <v>0.47896968827378611</v>
      </c>
      <c r="D6">
        <f t="shared" si="2"/>
        <v>-22.69732866489209</v>
      </c>
      <c r="E6">
        <f>NetData!E7/CountryPop00!$C7</f>
        <v>17.334968046846306</v>
      </c>
      <c r="F6">
        <f>NetData!F7/CountryPop00!$C7</f>
        <v>2.8602326396508069</v>
      </c>
      <c r="G6">
        <f t="shared" si="3"/>
        <v>-14.474735407195499</v>
      </c>
      <c r="H6">
        <f>NetData!H7/CountryPop10!$C7</f>
        <v>13.31702583668074</v>
      </c>
      <c r="I6">
        <f>NetData!I7/CountryPop10!$C7</f>
        <v>9.4707296188497097</v>
      </c>
      <c r="J6">
        <f t="shared" si="4"/>
        <v>-3.8462962178310303</v>
      </c>
      <c r="K6">
        <f>NetData!K7/CountryPop20!$C7</f>
        <v>10.803162562032075</v>
      </c>
      <c r="L6">
        <f>NetData!L7/CountryPop20!$C7</f>
        <v>55.043089990286326</v>
      </c>
      <c r="M6">
        <f t="shared" si="5"/>
        <v>44.239927428254248</v>
      </c>
    </row>
    <row r="7" spans="1:20">
      <c r="A7" s="1" t="s">
        <v>7</v>
      </c>
      <c r="B7">
        <f>NetData!B8/CountryPop90!C8</f>
        <v>26.235456719757803</v>
      </c>
      <c r="C7">
        <f>NetData!C8/CountryPop90!$C8</f>
        <v>2.049934050693112E-2</v>
      </c>
      <c r="D7">
        <f t="shared" si="2"/>
        <v>-26.214957379250873</v>
      </c>
      <c r="E7">
        <f>NetData!E8/CountryPop00!$C8</f>
        <v>29.172369541478375</v>
      </c>
      <c r="F7">
        <f>NetData!F8/CountryPop00!$C8</f>
        <v>0</v>
      </c>
      <c r="G7">
        <f t="shared" si="3"/>
        <v>-29.172369541478375</v>
      </c>
      <c r="H7">
        <f>NetData!H8/CountryPop10!$C8</f>
        <v>42.186314061954313</v>
      </c>
      <c r="I7">
        <f>NetData!I8/CountryPop10!$C8</f>
        <v>3.716167189825885E-2</v>
      </c>
      <c r="J7">
        <f t="shared" si="4"/>
        <v>-42.149152390056052</v>
      </c>
      <c r="K7">
        <f>NetData!K8/CountryPop20!$C8</f>
        <v>26.223900428040711</v>
      </c>
      <c r="L7">
        <f>NetData!L8/CountryPop20!$C8</f>
        <v>17.043848531138565</v>
      </c>
      <c r="M7">
        <f t="shared" si="5"/>
        <v>-9.1800518969021461</v>
      </c>
    </row>
    <row r="8" spans="1:20">
      <c r="A8" s="1" t="s">
        <v>8</v>
      </c>
      <c r="B8">
        <f>NetData!B9/CountryPop90!C9</f>
        <v>11.418021292151071</v>
      </c>
      <c r="C8">
        <f>NetData!C9/CountryPop90!$C9</f>
        <v>52.106338535893101</v>
      </c>
      <c r="D8">
        <f t="shared" si="2"/>
        <v>40.688317243742034</v>
      </c>
      <c r="E8">
        <f>NetData!E9/CountryPop00!$C9</f>
        <v>16.973450239706146</v>
      </c>
      <c r="F8">
        <f>NetData!F9/CountryPop00!$C9</f>
        <v>63.569744863675545</v>
      </c>
      <c r="G8">
        <f t="shared" si="3"/>
        <v>46.596294623969399</v>
      </c>
      <c r="H8">
        <f>NetData!H9/CountryPop10!$C9</f>
        <v>17.75717570892288</v>
      </c>
      <c r="I8">
        <f>NetData!I9/CountryPop10!$C9</f>
        <v>71.712202979788458</v>
      </c>
      <c r="J8">
        <f t="shared" si="4"/>
        <v>53.955027270865578</v>
      </c>
      <c r="K8">
        <f>NetData!K9/CountryPop20!$C9</f>
        <v>16.736523847614741</v>
      </c>
      <c r="L8">
        <f>NetData!L9/CountryPop20!$C9</f>
        <v>84.054069676554064</v>
      </c>
      <c r="M8">
        <f t="shared" si="5"/>
        <v>67.31754582893933</v>
      </c>
    </row>
    <row r="9" spans="1:20">
      <c r="A9" s="1" t="s">
        <v>9</v>
      </c>
      <c r="B9">
        <f>NetData!B10/CountryPop90!C10</f>
        <v>15.793792282210097</v>
      </c>
      <c r="C9">
        <f>NetData!C10/CountryPop90!$C10</f>
        <v>3.1791142590678798</v>
      </c>
      <c r="D9">
        <f t="shared" si="2"/>
        <v>-12.614678023142217</v>
      </c>
      <c r="E9">
        <f>NetData!E10/CountryPop00!$C10</f>
        <v>26.322925667920096</v>
      </c>
      <c r="F9">
        <f>NetData!F10/CountryPop00!$C10</f>
        <v>4.9545263079917143</v>
      </c>
      <c r="G9">
        <f t="shared" si="3"/>
        <v>-21.368399359928382</v>
      </c>
      <c r="H9">
        <f>NetData!H10/CountryPop10!$C10</f>
        <v>30.844228847517897</v>
      </c>
      <c r="I9">
        <f>NetData!I10/CountryPop10!$C10</f>
        <v>14.467760637710098</v>
      </c>
      <c r="J9">
        <f t="shared" si="4"/>
        <v>-16.376468209807797</v>
      </c>
      <c r="K9">
        <f>NetData!K10/CountryPop20!$C10</f>
        <v>25.371559114340403</v>
      </c>
      <c r="L9">
        <f>NetData!L10/CountryPop20!$C10</f>
        <v>31.150860956622527</v>
      </c>
      <c r="M9">
        <f t="shared" si="5"/>
        <v>5.7793018422821234</v>
      </c>
    </row>
    <row r="10" spans="1:20">
      <c r="A10" s="1" t="s">
        <v>10</v>
      </c>
      <c r="B10">
        <f>NetData!B11/CountryPop90!C11</f>
        <v>217.80438488915919</v>
      </c>
      <c r="C10">
        <f>NetData!C11/CountryPop90!$C11</f>
        <v>0.16556395639334293</v>
      </c>
      <c r="D10">
        <f t="shared" si="2"/>
        <v>-217.63882093276584</v>
      </c>
      <c r="E10">
        <f>NetData!E11/CountryPop00!$C11</f>
        <v>150.39459969226189</v>
      </c>
      <c r="F10">
        <f>NetData!F11/CountryPop00!$C11</f>
        <v>0.93297315577959627</v>
      </c>
      <c r="G10">
        <f t="shared" si="3"/>
        <v>-149.4616265364823</v>
      </c>
      <c r="H10">
        <f>NetData!H11/CountryPop10!$C11</f>
        <v>208.02409393549937</v>
      </c>
      <c r="I10">
        <f>NetData!I11/CountryPop10!$C11</f>
        <v>1.7332841813182025</v>
      </c>
      <c r="J10">
        <f t="shared" si="4"/>
        <v>-206.29080975418117</v>
      </c>
      <c r="K10">
        <f>NetData!K11/CountryPop20!$C11</f>
        <v>241.28803547515645</v>
      </c>
      <c r="L10">
        <f>NetData!L11/CountryPop20!$C11</f>
        <v>1.3447377272232242</v>
      </c>
      <c r="M10">
        <f t="shared" si="5"/>
        <v>-239.94329774793323</v>
      </c>
    </row>
    <row r="11" spans="1:20">
      <c r="A11" s="1" t="s">
        <v>11</v>
      </c>
      <c r="B11">
        <f>NetData!B12/CountryPop90!C12</f>
        <v>32.916839016338699</v>
      </c>
      <c r="C11">
        <f>NetData!C12/CountryPop90!$C12</f>
        <v>25.872894531530047</v>
      </c>
      <c r="D11">
        <f t="shared" si="2"/>
        <v>-7.0439444848086517</v>
      </c>
      <c r="E11">
        <f>NetData!E12/CountryPop00!$C12</f>
        <v>44.577892612428265</v>
      </c>
      <c r="F11">
        <f>NetData!F12/CountryPop00!$C12</f>
        <v>1.0776576922840186</v>
      </c>
      <c r="G11">
        <f t="shared" si="3"/>
        <v>-43.500234920144244</v>
      </c>
      <c r="H11">
        <f>NetData!H12/CountryPop10!$C12</f>
        <v>58.326859820117257</v>
      </c>
      <c r="I11">
        <f>NetData!I12/CountryPop10!$C12</f>
        <v>1.3192311893866751</v>
      </c>
      <c r="J11">
        <f t="shared" si="4"/>
        <v>-57.007628630730579</v>
      </c>
      <c r="K11">
        <f>NetData!K12/CountryPop20!$C12</f>
        <v>73.007505476794378</v>
      </c>
      <c r="L11">
        <f>NetData!L12/CountryPop20!$C12</f>
        <v>1.4054008898260533</v>
      </c>
      <c r="M11">
        <f t="shared" si="5"/>
        <v>-71.602104586968323</v>
      </c>
    </row>
    <row r="12" spans="1:20">
      <c r="A12" s="1" t="s">
        <v>12</v>
      </c>
      <c r="B12">
        <f>NetData!B13/CountryPop90!C13</f>
        <v>22.874670689834147</v>
      </c>
      <c r="C12">
        <f>NetData!C13/CountryPop90!$C13</f>
        <v>46.704669643751707</v>
      </c>
      <c r="D12">
        <f t="shared" si="2"/>
        <v>23.82999895391756</v>
      </c>
      <c r="E12">
        <f>NetData!E13/CountryPop00!$C13</f>
        <v>46.97563608326908</v>
      </c>
      <c r="F12">
        <f>NetData!F13/CountryPop00!$C13</f>
        <v>0.10979182729375482</v>
      </c>
      <c r="G12">
        <f t="shared" si="3"/>
        <v>-46.865844255975325</v>
      </c>
      <c r="H12">
        <f>NetData!H13/CountryPop10!$C13</f>
        <v>64.743928341944255</v>
      </c>
      <c r="I12">
        <f>NetData!I13/CountryPop10!$C13</f>
        <v>5.7544192821517307E-2</v>
      </c>
      <c r="J12">
        <f t="shared" si="4"/>
        <v>-64.68638414912273</v>
      </c>
      <c r="K12">
        <f>NetData!K13/CountryPop20!$C13</f>
        <v>83.707006244669785</v>
      </c>
      <c r="L12">
        <f>NetData!L13/CountryPop20!$C13</f>
        <v>4.8967111971227127E-2</v>
      </c>
      <c r="M12">
        <f t="shared" si="5"/>
        <v>-83.658039132698562</v>
      </c>
    </row>
    <row r="13" spans="1:20">
      <c r="A13" s="1" t="s">
        <v>13</v>
      </c>
      <c r="B13">
        <f>NetData!B14/CountryPop90!C14</f>
        <v>50.78292957464614</v>
      </c>
      <c r="C13">
        <f>NetData!C14/CountryPop90!$C14</f>
        <v>4.9650186163890311</v>
      </c>
      <c r="D13">
        <f t="shared" si="2"/>
        <v>-45.817910958257109</v>
      </c>
      <c r="E13">
        <f>NetData!E14/CountryPop00!$C14</f>
        <v>93.308356913071535</v>
      </c>
      <c r="F13">
        <f>NetData!F14/CountryPop00!$C14</f>
        <v>0.50032101871854873</v>
      </c>
      <c r="G13">
        <f t="shared" si="3"/>
        <v>-92.808035894352983</v>
      </c>
      <c r="H13">
        <f>NetData!H14/CountryPop10!$C14</f>
        <v>102.33854634188566</v>
      </c>
      <c r="I13">
        <f>NetData!I14/CountryPop10!$C14</f>
        <v>0.68117641296725739</v>
      </c>
      <c r="J13">
        <f t="shared" si="4"/>
        <v>-101.6573699289184</v>
      </c>
      <c r="K13">
        <f>NetData!K14/CountryPop20!$C14</f>
        <v>78.718430839679655</v>
      </c>
      <c r="L13">
        <f>NetData!L14/CountryPop20!$C14</f>
        <v>1.4521445919951776</v>
      </c>
      <c r="M13">
        <f t="shared" si="5"/>
        <v>-77.266286247684477</v>
      </c>
    </row>
    <row r="14" spans="1:20">
      <c r="A14" s="1" t="s">
        <v>14</v>
      </c>
      <c r="B14">
        <f>NetData!B15/CountryPop90!C15</f>
        <v>98.098332804011378</v>
      </c>
      <c r="C14">
        <f>NetData!C15/CountryPop90!$C15</f>
        <v>2.2017711224684438</v>
      </c>
      <c r="D14">
        <f t="shared" si="2"/>
        <v>-95.896561681542934</v>
      </c>
      <c r="E14">
        <f>NetData!E15/CountryPop00!$C15</f>
        <v>93.108395743003541</v>
      </c>
      <c r="F14">
        <f>NetData!F15/CountryPop00!$C15</f>
        <v>0.85080804099329921</v>
      </c>
      <c r="G14">
        <f t="shared" si="3"/>
        <v>-92.257587702010241</v>
      </c>
      <c r="H14">
        <f>NetData!H15/CountryPop10!$C15</f>
        <v>96.936447956028857</v>
      </c>
      <c r="I14">
        <f>NetData!I15/CountryPop10!$C15</f>
        <v>1.0687049124012367</v>
      </c>
      <c r="J14">
        <f t="shared" si="4"/>
        <v>-95.867743043627627</v>
      </c>
      <c r="K14">
        <f>NetData!K15/CountryPop20!$C15</f>
        <v>95.840565266733421</v>
      </c>
      <c r="L14">
        <f>NetData!L15/CountryPop20!$C15</f>
        <v>0.80865821306611729</v>
      </c>
      <c r="M14">
        <f t="shared" si="5"/>
        <v>-95.031907053667297</v>
      </c>
    </row>
    <row r="15" spans="1:20">
      <c r="A15" s="1" t="s">
        <v>15</v>
      </c>
      <c r="B15">
        <f>NetData!B16/CountryPop90!C16</f>
        <v>46.319753801846645</v>
      </c>
      <c r="C15">
        <f>NetData!C16/CountryPop90!$C16</f>
        <v>9.2014808703269235</v>
      </c>
      <c r="D15">
        <f t="shared" si="2"/>
        <v>-37.118272931519719</v>
      </c>
      <c r="E15">
        <f>NetData!E16/CountryPop00!$C16</f>
        <v>39.10006315210358</v>
      </c>
      <c r="F15">
        <f>NetData!F16/CountryPop00!$C16</f>
        <v>11.114136244411672</v>
      </c>
      <c r="G15">
        <f t="shared" si="3"/>
        <v>-27.985926907691908</v>
      </c>
      <c r="H15">
        <f>NetData!H16/CountryPop10!$C16</f>
        <v>29.678376352430387</v>
      </c>
      <c r="I15">
        <f>NetData!I16/CountryPop10!$C16</f>
        <v>23.045598804162179</v>
      </c>
      <c r="J15">
        <f t="shared" si="4"/>
        <v>-6.6327775482682085</v>
      </c>
      <c r="K15">
        <f>NetData!K16/CountryPop20!$C16</f>
        <v>20.379084200838655</v>
      </c>
      <c r="L15">
        <f>NetData!L16/CountryPop20!$C16</f>
        <v>47.253768279955793</v>
      </c>
      <c r="M15">
        <f t="shared" si="5"/>
        <v>26.874684079117138</v>
      </c>
    </row>
    <row r="16" spans="1:20">
      <c r="A16" s="1" t="s">
        <v>16</v>
      </c>
      <c r="B16">
        <f>NetData!B17/CountryPop90!C17</f>
        <v>53.195043153887198</v>
      </c>
      <c r="C16">
        <f>NetData!C17/CountryPop90!$C17</f>
        <v>23.798074198966592</v>
      </c>
      <c r="D16">
        <f t="shared" si="2"/>
        <v>-29.396968954920606</v>
      </c>
      <c r="E16">
        <f>NetData!E17/CountryPop00!$C17</f>
        <v>48.340247452692864</v>
      </c>
      <c r="F16">
        <f>NetData!F17/CountryPop00!$C17</f>
        <v>10.368449781659388</v>
      </c>
      <c r="G16">
        <f t="shared" si="3"/>
        <v>-37.971797671033478</v>
      </c>
      <c r="H16">
        <f>NetData!H17/CountryPop10!$C17</f>
        <v>89.358009135296896</v>
      </c>
      <c r="I16">
        <f>NetData!I17/CountryPop10!$C17</f>
        <v>6.2603559615687514</v>
      </c>
      <c r="J16">
        <f t="shared" si="4"/>
        <v>-83.097653173728148</v>
      </c>
      <c r="K16">
        <f>NetData!K17/CountryPop20!$C17</f>
        <v>95.50247050909509</v>
      </c>
      <c r="L16">
        <f>NetData!L17/CountryPop20!$C17</f>
        <v>4.6486958779609733</v>
      </c>
      <c r="M16">
        <f t="shared" si="5"/>
        <v>-90.853774631134115</v>
      </c>
    </row>
    <row r="17" spans="1:13">
      <c r="A17" s="1" t="s">
        <v>17</v>
      </c>
      <c r="B17">
        <f>NetData!B18/CountryPop90!C18</f>
        <v>9.1080211554324144</v>
      </c>
      <c r="C17">
        <f>NetData!C18/CountryPop90!$C18</f>
        <v>5.2010534199969649E-2</v>
      </c>
      <c r="D17">
        <f t="shared" si="2"/>
        <v>-9.0560106212324456</v>
      </c>
      <c r="E17">
        <f>NetData!E18/CountryPop00!$C18</f>
        <v>17.729405346426624</v>
      </c>
      <c r="F17">
        <f>NetData!F18/CountryPop00!$C18</f>
        <v>2.115969137245733E-2</v>
      </c>
      <c r="G17">
        <f t="shared" si="3"/>
        <v>-17.708245655054167</v>
      </c>
      <c r="H17">
        <f>NetData!H18/CountryPop10!$C18</f>
        <v>26.952682632634893</v>
      </c>
      <c r="I17">
        <f>NetData!I18/CountryPop10!$C18</f>
        <v>8.1784225012958914E-2</v>
      </c>
      <c r="J17">
        <f t="shared" si="4"/>
        <v>-26.870898407621933</v>
      </c>
      <c r="K17">
        <f>NetData!K18/CountryPop20!$C18</f>
        <v>25.071231966513015</v>
      </c>
      <c r="L17">
        <f>NetData!L18/CountryPop20!$C18</f>
        <v>28.021202568712091</v>
      </c>
      <c r="M17">
        <f t="shared" si="5"/>
        <v>2.9499706021990768</v>
      </c>
    </row>
    <row r="18" spans="1:13">
      <c r="A18" s="1" t="s">
        <v>18</v>
      </c>
      <c r="B18">
        <f>NetData!B19/CountryPop90!C19</f>
        <v>0</v>
      </c>
      <c r="C18">
        <f>NetData!C19/CountryPop90!$C19</f>
        <v>26.14527892103423</v>
      </c>
      <c r="D18">
        <f t="shared" si="2"/>
        <v>26.14527892103423</v>
      </c>
      <c r="E18">
        <f>NetData!E19/CountryPop00!$C19</f>
        <v>0</v>
      </c>
      <c r="F18">
        <f>NetData!F19/CountryPop00!$C19</f>
        <v>47.159043830795454</v>
      </c>
      <c r="G18">
        <f t="shared" si="3"/>
        <v>47.159043830795454</v>
      </c>
      <c r="H18">
        <f>NetData!H19/CountryPop10!$C19</f>
        <v>0</v>
      </c>
      <c r="I18">
        <f>NetData!I19/CountryPop10!$C19</f>
        <v>56.031383306158745</v>
      </c>
      <c r="J18">
        <f t="shared" si="4"/>
        <v>56.031383306158745</v>
      </c>
      <c r="K18">
        <f>NetData!K19/CountryPop20!$C19</f>
        <v>0</v>
      </c>
      <c r="L18">
        <f>NetData!L19/CountryPop20!$C19</f>
        <v>52.608318837905621</v>
      </c>
      <c r="M18">
        <f t="shared" si="5"/>
        <v>52.608318837905621</v>
      </c>
    </row>
    <row r="19" spans="1:13">
      <c r="A19" s="1" t="s">
        <v>19</v>
      </c>
      <c r="B19">
        <f>NetData!B20/CountryPop90!C20</f>
        <v>57.392785141667723</v>
      </c>
      <c r="C19">
        <f>NetData!C20/CountryPop90!$C20</f>
        <v>3.3188835974965767</v>
      </c>
      <c r="D19">
        <f t="shared" si="2"/>
        <v>-54.073901544171143</v>
      </c>
      <c r="E19">
        <f>NetData!E20/CountryPop00!$C20</f>
        <v>36.90020976925382</v>
      </c>
      <c r="F19">
        <f>NetData!F20/CountryPop00!$C20</f>
        <v>3.8204974528019178</v>
      </c>
      <c r="G19">
        <f t="shared" si="3"/>
        <v>-33.079712316451904</v>
      </c>
      <c r="H19">
        <f>NetData!H20/CountryPop10!$C20</f>
        <v>50.442354488968547</v>
      </c>
      <c r="I19">
        <f>NetData!I20/CountryPop10!$C20</f>
        <v>0</v>
      </c>
      <c r="J19">
        <f t="shared" si="4"/>
        <v>-50.442354488968547</v>
      </c>
      <c r="K19">
        <f>NetData!K20/CountryPop20!$C20</f>
        <v>52.727759497715709</v>
      </c>
      <c r="L19">
        <f>NetData!L20/CountryPop20!$C20</f>
        <v>2.9907333039700839</v>
      </c>
      <c r="M19">
        <f t="shared" si="5"/>
        <v>-49.737026193745628</v>
      </c>
    </row>
    <row r="20" spans="1:13">
      <c r="A20" s="1" t="s">
        <v>20</v>
      </c>
      <c r="B20">
        <f>NetData!B21/CountryPop90!C21</f>
        <v>1.6626348017442931</v>
      </c>
      <c r="C20">
        <f>NetData!C21/CountryPop90!$C21</f>
        <v>31.24465363774905</v>
      </c>
      <c r="D20">
        <f t="shared" si="2"/>
        <v>29.582018836004757</v>
      </c>
      <c r="E20">
        <f>NetData!E21/CountryPop00!$C21</f>
        <v>4.5291621631079462</v>
      </c>
      <c r="F20">
        <f>NetData!F21/CountryPop00!$C21</f>
        <v>25.848601313854743</v>
      </c>
      <c r="G20">
        <f t="shared" si="3"/>
        <v>21.319439150746796</v>
      </c>
      <c r="H20">
        <f>NetData!H21/CountryPop10!$C21</f>
        <v>6.9341081635140922</v>
      </c>
      <c r="I20">
        <f>NetData!I21/CountryPop10!$C21</f>
        <v>33.959015871799267</v>
      </c>
      <c r="J20">
        <f t="shared" si="4"/>
        <v>27.024907708285173</v>
      </c>
      <c r="K20">
        <f>NetData!K21/CountryPop20!$C21</f>
        <v>132.79430889219771</v>
      </c>
      <c r="L20">
        <f>NetData!L21/CountryPop20!$C21</f>
        <v>9.6497601275006215E-2</v>
      </c>
      <c r="M20">
        <f t="shared" si="5"/>
        <v>-132.69781129092269</v>
      </c>
    </row>
  </sheetData>
  <mergeCells count="1">
    <mergeCell ref="O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09A25-7FCE-458B-9B69-77F4144A4691}">
  <dimension ref="A1:C22"/>
  <sheetViews>
    <sheetView topLeftCell="A4" workbookViewId="0">
      <selection activeCell="C22" sqref="C22"/>
    </sheetView>
  </sheetViews>
  <sheetFormatPr defaultRowHeight="14.5"/>
  <cols>
    <col min="1" max="1" width="11.36328125" customWidth="1"/>
    <col min="2" max="2" width="12.90625" customWidth="1"/>
    <col min="3" max="3" width="12.81640625" customWidth="1"/>
  </cols>
  <sheetData>
    <row r="1" spans="1:3">
      <c r="A1" s="6">
        <v>1990</v>
      </c>
      <c r="B1" s="6"/>
      <c r="C1" s="6"/>
    </row>
    <row r="2" spans="1:3">
      <c r="A2" s="2" t="s">
        <v>24</v>
      </c>
      <c r="B2" s="2" t="s">
        <v>25</v>
      </c>
      <c r="C2" s="2" t="s">
        <v>28</v>
      </c>
    </row>
    <row r="3" spans="1:3">
      <c r="A3" t="s">
        <v>2</v>
      </c>
      <c r="B3">
        <v>32755900</v>
      </c>
      <c r="C3">
        <f>B3/1000</f>
        <v>32755.9</v>
      </c>
    </row>
    <row r="4" spans="1:3">
      <c r="A4" t="s">
        <v>3</v>
      </c>
      <c r="B4">
        <v>7096193</v>
      </c>
      <c r="C4">
        <f t="shared" ref="C4:C21" si="0">B4/1000</f>
        <v>7096.1930000000002</v>
      </c>
    </row>
    <row r="5" spans="1:3">
      <c r="A5" t="s">
        <v>4</v>
      </c>
      <c r="B5">
        <v>149143223</v>
      </c>
      <c r="C5">
        <f t="shared" si="0"/>
        <v>149143.223</v>
      </c>
    </row>
    <row r="6" spans="1:3">
      <c r="A6" t="s">
        <v>5</v>
      </c>
      <c r="B6">
        <v>27789442</v>
      </c>
      <c r="C6">
        <f t="shared" si="0"/>
        <v>27789.441999999999</v>
      </c>
    </row>
    <row r="7" spans="1:3">
      <c r="A7" t="s">
        <v>6</v>
      </c>
      <c r="B7">
        <v>13437176</v>
      </c>
      <c r="C7">
        <f t="shared" si="0"/>
        <v>13437.175999999999</v>
      </c>
    </row>
    <row r="8" spans="1:3">
      <c r="A8" t="s">
        <v>7</v>
      </c>
      <c r="B8">
        <v>32440068</v>
      </c>
      <c r="C8">
        <f t="shared" si="0"/>
        <v>32440.067999999999</v>
      </c>
    </row>
    <row r="9" spans="1:3">
      <c r="A9" t="s">
        <v>8</v>
      </c>
      <c r="B9">
        <v>3158253</v>
      </c>
      <c r="C9">
        <f t="shared" si="0"/>
        <v>3158.2530000000002</v>
      </c>
    </row>
    <row r="10" spans="1:3">
      <c r="A10" t="s">
        <v>9</v>
      </c>
      <c r="B10">
        <v>10473672</v>
      </c>
      <c r="C10">
        <f t="shared" si="0"/>
        <v>10473.672</v>
      </c>
    </row>
    <row r="11" spans="1:3">
      <c r="A11" t="s">
        <v>10</v>
      </c>
      <c r="B11">
        <v>5399726</v>
      </c>
      <c r="C11">
        <f t="shared" si="0"/>
        <v>5399.7259999999997</v>
      </c>
    </row>
    <row r="12" spans="1:3">
      <c r="A12" t="s">
        <v>11</v>
      </c>
      <c r="B12">
        <v>9024773</v>
      </c>
      <c r="C12">
        <f t="shared" si="0"/>
        <v>9024.7729999999992</v>
      </c>
    </row>
    <row r="13" spans="1:3">
      <c r="A13" t="s">
        <v>12</v>
      </c>
      <c r="B13">
        <v>4980487</v>
      </c>
      <c r="C13">
        <f t="shared" si="0"/>
        <v>4980.4870000000001</v>
      </c>
    </row>
    <row r="14" spans="1:3">
      <c r="A14" t="s">
        <v>13</v>
      </c>
      <c r="B14">
        <v>81249645</v>
      </c>
      <c r="C14">
        <f t="shared" si="0"/>
        <v>81249.645000000004</v>
      </c>
    </row>
    <row r="15" spans="1:3">
      <c r="A15" t="s">
        <v>14</v>
      </c>
      <c r="B15">
        <v>4162558</v>
      </c>
      <c r="C15">
        <f t="shared" si="0"/>
        <v>4162.558</v>
      </c>
    </row>
    <row r="16" spans="1:3">
      <c r="A16" t="s">
        <v>15</v>
      </c>
      <c r="B16">
        <v>2455583</v>
      </c>
      <c r="C16">
        <f t="shared" si="0"/>
        <v>2455.5830000000001</v>
      </c>
    </row>
    <row r="17" spans="1:3">
      <c r="A17" t="s">
        <v>16</v>
      </c>
      <c r="B17">
        <v>4059194</v>
      </c>
      <c r="C17">
        <f t="shared" si="0"/>
        <v>4059.194</v>
      </c>
    </row>
    <row r="18" spans="1:3">
      <c r="A18" t="s">
        <v>17</v>
      </c>
      <c r="B18">
        <v>22014771</v>
      </c>
      <c r="C18">
        <f t="shared" si="0"/>
        <v>22014.771000000001</v>
      </c>
    </row>
    <row r="19" spans="1:3">
      <c r="A19" t="s">
        <v>18</v>
      </c>
      <c r="B19">
        <v>248709873</v>
      </c>
      <c r="C19">
        <f t="shared" si="0"/>
        <v>248709.87299999999</v>
      </c>
    </row>
    <row r="20" spans="1:3">
      <c r="A20" t="s">
        <v>19</v>
      </c>
      <c r="B20">
        <v>3117012</v>
      </c>
      <c r="C20">
        <f t="shared" si="0"/>
        <v>3117.0120000000002</v>
      </c>
    </row>
    <row r="21" spans="1:3">
      <c r="A21" t="s">
        <v>20</v>
      </c>
      <c r="B21">
        <v>19750579</v>
      </c>
      <c r="C21">
        <f t="shared" si="0"/>
        <v>19750.579000000002</v>
      </c>
    </row>
    <row r="22" spans="1:3">
      <c r="A22" t="s">
        <v>48</v>
      </c>
      <c r="B22">
        <f>SUM(B3:B21)</f>
        <v>681218128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B72C-0B9E-4AB3-8B07-FC39CF3B4EB4}">
  <dimension ref="A1:C22"/>
  <sheetViews>
    <sheetView topLeftCell="A7" workbookViewId="0">
      <selection activeCell="B22" sqref="B22"/>
    </sheetView>
  </sheetViews>
  <sheetFormatPr defaultRowHeight="14.5"/>
  <cols>
    <col min="2" max="2" width="14.81640625" customWidth="1"/>
    <col min="3" max="3" width="18" customWidth="1"/>
  </cols>
  <sheetData>
    <row r="1" spans="1:3">
      <c r="A1" s="6">
        <v>2000</v>
      </c>
      <c r="B1" s="6"/>
      <c r="C1" s="6"/>
    </row>
    <row r="2" spans="1:3">
      <c r="A2" s="3" t="s">
        <v>24</v>
      </c>
      <c r="B2" s="2" t="s">
        <v>25</v>
      </c>
      <c r="C2" s="2" t="s">
        <v>28</v>
      </c>
    </row>
    <row r="3" spans="1:3">
      <c r="A3" s="4" t="s">
        <v>2</v>
      </c>
      <c r="B3">
        <v>37213983</v>
      </c>
      <c r="C3">
        <f>B3/1000</f>
        <v>37213.983</v>
      </c>
    </row>
    <row r="4" spans="1:3">
      <c r="A4" s="4" t="s">
        <v>3</v>
      </c>
      <c r="B4">
        <v>8606325</v>
      </c>
      <c r="C4">
        <f t="shared" ref="C4:C21" si="0">B4/1000</f>
        <v>8606.3250000000007</v>
      </c>
    </row>
    <row r="5" spans="1:3">
      <c r="A5" s="4" t="s">
        <v>4</v>
      </c>
      <c r="B5">
        <v>174018281</v>
      </c>
      <c r="C5">
        <f t="shared" si="0"/>
        <v>174018.28099999999</v>
      </c>
    </row>
    <row r="6" spans="1:3">
      <c r="A6" s="4" t="s">
        <v>5</v>
      </c>
      <c r="B6">
        <v>30891802</v>
      </c>
      <c r="C6">
        <f t="shared" si="0"/>
        <v>30891.802</v>
      </c>
    </row>
    <row r="7" spans="1:3">
      <c r="A7" s="4" t="s">
        <v>6</v>
      </c>
      <c r="B7">
        <v>15503634</v>
      </c>
      <c r="C7">
        <f t="shared" si="0"/>
        <v>15503.634</v>
      </c>
    </row>
    <row r="8" spans="1:3">
      <c r="A8" s="4" t="s">
        <v>7</v>
      </c>
      <c r="B8">
        <v>39089934</v>
      </c>
      <c r="C8">
        <f t="shared" si="0"/>
        <v>39089.934000000001</v>
      </c>
    </row>
    <row r="9" spans="1:3">
      <c r="A9" s="4" t="s">
        <v>8</v>
      </c>
      <c r="B9">
        <v>3937738</v>
      </c>
      <c r="C9">
        <f t="shared" si="0"/>
        <v>3937.7379999999998</v>
      </c>
    </row>
    <row r="10" spans="1:3">
      <c r="A10" s="4" t="s">
        <v>9</v>
      </c>
      <c r="B10">
        <v>12689205</v>
      </c>
      <c r="C10">
        <f t="shared" si="0"/>
        <v>12689.205</v>
      </c>
    </row>
    <row r="11" spans="1:3">
      <c r="A11" s="4" t="s">
        <v>10</v>
      </c>
      <c r="B11">
        <v>5943365</v>
      </c>
      <c r="C11">
        <f t="shared" si="0"/>
        <v>5943.3649999999998</v>
      </c>
    </row>
    <row r="12" spans="1:3">
      <c r="A12" s="4" t="s">
        <v>11</v>
      </c>
      <c r="B12">
        <v>11697592</v>
      </c>
      <c r="C12">
        <f t="shared" si="0"/>
        <v>11697.592000000001</v>
      </c>
    </row>
    <row r="13" spans="1:3">
      <c r="A13" s="4" t="s">
        <v>12</v>
      </c>
      <c r="B13">
        <v>6485000</v>
      </c>
      <c r="C13">
        <f t="shared" si="0"/>
        <v>6485</v>
      </c>
    </row>
    <row r="14" spans="1:3">
      <c r="A14" s="4" t="s">
        <v>13</v>
      </c>
      <c r="B14">
        <v>97483412</v>
      </c>
      <c r="C14">
        <f t="shared" si="0"/>
        <v>97483.411999999997</v>
      </c>
    </row>
    <row r="15" spans="1:3">
      <c r="A15" s="4" t="s">
        <v>14</v>
      </c>
      <c r="B15">
        <v>5074000</v>
      </c>
      <c r="C15">
        <f t="shared" si="0"/>
        <v>5074</v>
      </c>
    </row>
    <row r="16" spans="1:3">
      <c r="A16" s="4" t="s">
        <v>15</v>
      </c>
      <c r="B16">
        <v>2839177</v>
      </c>
      <c r="C16">
        <f t="shared" si="0"/>
        <v>2839.1770000000001</v>
      </c>
    </row>
    <row r="17" spans="1:3">
      <c r="A17" s="4" t="s">
        <v>16</v>
      </c>
      <c r="B17">
        <v>5496000</v>
      </c>
      <c r="C17">
        <f t="shared" si="0"/>
        <v>5496</v>
      </c>
    </row>
    <row r="18" spans="1:3">
      <c r="A18" s="4" t="s">
        <v>17</v>
      </c>
      <c r="B18">
        <v>25662000</v>
      </c>
      <c r="C18">
        <f t="shared" si="0"/>
        <v>25662</v>
      </c>
    </row>
    <row r="19" spans="1:3">
      <c r="A19" s="4" t="s">
        <v>18</v>
      </c>
      <c r="B19">
        <v>281421906</v>
      </c>
      <c r="C19">
        <f t="shared" si="0"/>
        <v>281421.90600000002</v>
      </c>
    </row>
    <row r="20" spans="1:3">
      <c r="A20" s="4" t="s">
        <v>19</v>
      </c>
      <c r="B20">
        <v>3337000</v>
      </c>
      <c r="C20">
        <f t="shared" si="0"/>
        <v>3337</v>
      </c>
    </row>
    <row r="21" spans="1:3">
      <c r="A21" s="5" t="s">
        <v>20</v>
      </c>
      <c r="B21">
        <v>23232553</v>
      </c>
      <c r="C21">
        <f t="shared" si="0"/>
        <v>23232.553</v>
      </c>
    </row>
    <row r="22" spans="1:3">
      <c r="A22" t="s">
        <v>48</v>
      </c>
      <c r="B22">
        <f>SUM(B3:B21)</f>
        <v>790622907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83DB-475A-4758-8640-BE7245037729}">
  <dimension ref="A1:C22"/>
  <sheetViews>
    <sheetView topLeftCell="A7" workbookViewId="0">
      <selection activeCell="A22" sqref="A22:B22"/>
    </sheetView>
  </sheetViews>
  <sheetFormatPr defaultRowHeight="14.5"/>
  <cols>
    <col min="2" max="2" width="14.1796875" customWidth="1"/>
    <col min="3" max="3" width="19" customWidth="1"/>
  </cols>
  <sheetData>
    <row r="1" spans="1:3">
      <c r="A1" s="6">
        <v>2010</v>
      </c>
      <c r="B1" s="6"/>
      <c r="C1" s="6"/>
    </row>
    <row r="2" spans="1:3">
      <c r="A2" s="2" t="s">
        <v>24</v>
      </c>
      <c r="B2" s="2" t="s">
        <v>25</v>
      </c>
      <c r="C2" s="2" t="s">
        <v>27</v>
      </c>
    </row>
    <row r="3" spans="1:3">
      <c r="A3" t="s">
        <v>2</v>
      </c>
      <c r="B3">
        <v>40117096</v>
      </c>
      <c r="C3">
        <f>B3/1000</f>
        <v>40117.095999999998</v>
      </c>
    </row>
    <row r="4" spans="1:3">
      <c r="A4" t="s">
        <v>3</v>
      </c>
      <c r="B4">
        <v>10182345</v>
      </c>
      <c r="C4">
        <f t="shared" ref="C4:C21" si="0">B4/1000</f>
        <v>10182.344999999999</v>
      </c>
    </row>
    <row r="5" spans="1:3">
      <c r="A5" t="s">
        <v>4</v>
      </c>
      <c r="B5">
        <v>190755799</v>
      </c>
      <c r="C5">
        <f t="shared" si="0"/>
        <v>190755.799</v>
      </c>
    </row>
    <row r="6" spans="1:3">
      <c r="A6" t="s">
        <v>5</v>
      </c>
      <c r="B6">
        <v>34196898</v>
      </c>
      <c r="C6">
        <f t="shared" si="0"/>
        <v>34196.898000000001</v>
      </c>
    </row>
    <row r="7" spans="1:3">
      <c r="A7" t="s">
        <v>6</v>
      </c>
      <c r="B7">
        <v>17181464</v>
      </c>
      <c r="C7">
        <f t="shared" si="0"/>
        <v>17181.464</v>
      </c>
    </row>
    <row r="8" spans="1:3">
      <c r="A8" t="s">
        <v>7</v>
      </c>
      <c r="B8">
        <v>44777318</v>
      </c>
      <c r="C8">
        <f t="shared" si="0"/>
        <v>44777.317999999999</v>
      </c>
    </row>
    <row r="9" spans="1:3">
      <c r="A9" t="s">
        <v>8</v>
      </c>
      <c r="B9">
        <v>4555961</v>
      </c>
      <c r="C9">
        <f t="shared" si="0"/>
        <v>4555.9610000000002</v>
      </c>
    </row>
    <row r="10" spans="1:3">
      <c r="A10" t="s">
        <v>9</v>
      </c>
      <c r="B10">
        <v>15076694</v>
      </c>
      <c r="C10">
        <f t="shared" si="0"/>
        <v>15076.694</v>
      </c>
    </row>
    <row r="11" spans="1:3">
      <c r="A11" t="s">
        <v>10</v>
      </c>
      <c r="B11">
        <v>6068249</v>
      </c>
      <c r="C11">
        <f t="shared" si="0"/>
        <v>6068.2489999999998</v>
      </c>
    </row>
    <row r="12" spans="1:3">
      <c r="A12" t="s">
        <v>11</v>
      </c>
      <c r="B12">
        <v>14500112</v>
      </c>
      <c r="C12">
        <f t="shared" si="0"/>
        <v>14500.111999999999</v>
      </c>
    </row>
    <row r="13" spans="1:3">
      <c r="A13" t="s">
        <v>12</v>
      </c>
      <c r="B13">
        <v>8045990</v>
      </c>
      <c r="C13">
        <f t="shared" si="0"/>
        <v>8045.99</v>
      </c>
    </row>
    <row r="14" spans="1:3">
      <c r="A14" t="s">
        <v>13</v>
      </c>
      <c r="B14">
        <v>112336538</v>
      </c>
      <c r="C14">
        <f t="shared" si="0"/>
        <v>112336.538</v>
      </c>
    </row>
    <row r="15" spans="1:3">
      <c r="A15" t="s">
        <v>14</v>
      </c>
      <c r="B15">
        <v>5822000</v>
      </c>
      <c r="C15">
        <f t="shared" si="0"/>
        <v>5822</v>
      </c>
    </row>
    <row r="16" spans="1:3">
      <c r="A16" t="s">
        <v>15</v>
      </c>
      <c r="B16">
        <v>3405813</v>
      </c>
      <c r="C16">
        <f t="shared" si="0"/>
        <v>3405.8130000000001</v>
      </c>
    </row>
    <row r="17" spans="1:3">
      <c r="A17" t="s">
        <v>16</v>
      </c>
      <c r="B17">
        <v>6349000</v>
      </c>
      <c r="C17">
        <f t="shared" si="0"/>
        <v>6349</v>
      </c>
    </row>
    <row r="18" spans="1:3">
      <c r="A18" t="s">
        <v>17</v>
      </c>
      <c r="B18">
        <v>29076512</v>
      </c>
      <c r="C18">
        <f t="shared" si="0"/>
        <v>29076.511999999999</v>
      </c>
    </row>
    <row r="19" spans="1:3">
      <c r="A19" t="s">
        <v>18</v>
      </c>
      <c r="B19">
        <v>309349689</v>
      </c>
      <c r="C19">
        <f t="shared" si="0"/>
        <v>309349.68900000001</v>
      </c>
    </row>
    <row r="20" spans="1:3">
      <c r="A20" t="s">
        <v>19</v>
      </c>
      <c r="B20">
        <v>3356584</v>
      </c>
      <c r="C20">
        <f t="shared" si="0"/>
        <v>3356.5839999999998</v>
      </c>
    </row>
    <row r="21" spans="1:3">
      <c r="A21" t="s">
        <v>20</v>
      </c>
      <c r="B21">
        <v>28833845</v>
      </c>
      <c r="C21">
        <f t="shared" si="0"/>
        <v>28833.845000000001</v>
      </c>
    </row>
    <row r="22" spans="1:3">
      <c r="A22" t="s">
        <v>48</v>
      </c>
      <c r="B22">
        <f>SUM(B3:B21)</f>
        <v>883987907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9859-54E5-44F4-8582-64576292FE42}">
  <dimension ref="A1:C22"/>
  <sheetViews>
    <sheetView topLeftCell="A7" workbookViewId="0">
      <selection activeCell="B22" sqref="B22"/>
    </sheetView>
  </sheetViews>
  <sheetFormatPr defaultRowHeight="14.5"/>
  <cols>
    <col min="1" max="1" width="11.81640625" customWidth="1"/>
    <col min="2" max="2" width="14.36328125" customWidth="1"/>
    <col min="3" max="3" width="22.6328125" customWidth="1"/>
  </cols>
  <sheetData>
    <row r="1" spans="1:3">
      <c r="A1" s="6">
        <v>2020</v>
      </c>
      <c r="B1" s="6"/>
      <c r="C1" s="6"/>
    </row>
    <row r="2" spans="1:3">
      <c r="A2" s="2" t="s">
        <v>24</v>
      </c>
      <c r="B2" s="2" t="s">
        <v>25</v>
      </c>
      <c r="C2" t="s">
        <v>26</v>
      </c>
    </row>
    <row r="3" spans="1:3">
      <c r="A3" t="s">
        <v>2</v>
      </c>
      <c r="B3">
        <v>45376760</v>
      </c>
      <c r="C3">
        <f>B3/1000</f>
        <v>45376.76</v>
      </c>
    </row>
    <row r="4" spans="1:3">
      <c r="A4" t="s">
        <v>3</v>
      </c>
      <c r="B4">
        <v>11816299</v>
      </c>
      <c r="C4">
        <f t="shared" ref="C4:C21" si="0">B4/1000</f>
        <v>11816.299000000001</v>
      </c>
    </row>
    <row r="5" spans="1:3">
      <c r="A5" t="s">
        <v>4</v>
      </c>
      <c r="B5">
        <v>211800000</v>
      </c>
      <c r="C5">
        <f t="shared" si="0"/>
        <v>211800</v>
      </c>
    </row>
    <row r="6" spans="1:3">
      <c r="A6" t="s">
        <v>5</v>
      </c>
      <c r="B6">
        <v>38005238</v>
      </c>
      <c r="C6">
        <f t="shared" si="0"/>
        <v>38005.237999999998</v>
      </c>
    </row>
    <row r="7" spans="1:3">
      <c r="A7" t="s">
        <v>6</v>
      </c>
      <c r="B7">
        <v>19370624</v>
      </c>
      <c r="C7">
        <f t="shared" si="0"/>
        <v>19370.624</v>
      </c>
    </row>
    <row r="8" spans="1:3">
      <c r="A8" t="s">
        <v>7</v>
      </c>
      <c r="B8">
        <v>50629997</v>
      </c>
      <c r="C8">
        <f t="shared" si="0"/>
        <v>50629.997000000003</v>
      </c>
    </row>
    <row r="9" spans="1:3">
      <c r="A9" t="s">
        <v>8</v>
      </c>
      <c r="B9">
        <v>5034319</v>
      </c>
      <c r="C9">
        <f t="shared" si="0"/>
        <v>5034.3190000000004</v>
      </c>
    </row>
    <row r="10" spans="1:3">
      <c r="A10" t="s">
        <v>9</v>
      </c>
      <c r="B10">
        <v>17546064</v>
      </c>
      <c r="C10">
        <f t="shared" si="0"/>
        <v>17546.063999999998</v>
      </c>
    </row>
    <row r="11" spans="1:3">
      <c r="A11" t="s">
        <v>10</v>
      </c>
      <c r="B11">
        <v>6234673</v>
      </c>
      <c r="C11">
        <f t="shared" si="0"/>
        <v>6234.6729999999998</v>
      </c>
    </row>
    <row r="12" spans="1:3">
      <c r="A12" t="s">
        <v>11</v>
      </c>
      <c r="B12">
        <v>17357325</v>
      </c>
      <c r="C12">
        <f t="shared" si="0"/>
        <v>17357.325000000001</v>
      </c>
    </row>
    <row r="13" spans="1:3">
      <c r="A13" t="s">
        <v>12</v>
      </c>
      <c r="B13">
        <v>9904607</v>
      </c>
      <c r="C13">
        <f t="shared" si="0"/>
        <v>9904.607</v>
      </c>
    </row>
    <row r="14" spans="1:3">
      <c r="A14" t="s">
        <v>13</v>
      </c>
      <c r="B14">
        <v>128932753</v>
      </c>
      <c r="C14">
        <f t="shared" si="0"/>
        <v>128932.753</v>
      </c>
    </row>
    <row r="15" spans="1:3">
      <c r="A15" t="s">
        <v>14</v>
      </c>
      <c r="B15">
        <v>6624554</v>
      </c>
      <c r="C15">
        <f t="shared" si="0"/>
        <v>6624.5540000000001</v>
      </c>
    </row>
    <row r="16" spans="1:3">
      <c r="A16" t="s">
        <v>15</v>
      </c>
      <c r="B16">
        <v>4314767</v>
      </c>
      <c r="C16">
        <f t="shared" si="0"/>
        <v>4314.7669999999998</v>
      </c>
    </row>
    <row r="17" spans="1:3">
      <c r="A17" t="s">
        <v>16</v>
      </c>
      <c r="B17">
        <v>7132538</v>
      </c>
      <c r="C17">
        <f t="shared" si="0"/>
        <v>7132.5379999999996</v>
      </c>
    </row>
    <row r="18" spans="1:3">
      <c r="A18" t="s">
        <v>17</v>
      </c>
      <c r="B18">
        <v>32971854</v>
      </c>
      <c r="C18">
        <f t="shared" si="0"/>
        <v>32971.853999999999</v>
      </c>
    </row>
    <row r="19" spans="1:3">
      <c r="A19" t="s">
        <v>18</v>
      </c>
      <c r="B19">
        <v>331002651</v>
      </c>
      <c r="C19">
        <f t="shared" si="0"/>
        <v>331002.65100000001</v>
      </c>
    </row>
    <row r="20" spans="1:3">
      <c r="A20" t="s">
        <v>19</v>
      </c>
      <c r="B20">
        <v>3473730</v>
      </c>
      <c r="C20">
        <f t="shared" si="0"/>
        <v>3473.73</v>
      </c>
    </row>
    <row r="21" spans="1:3">
      <c r="A21" t="s">
        <v>20</v>
      </c>
      <c r="B21">
        <v>28435940</v>
      </c>
      <c r="C21">
        <f t="shared" si="0"/>
        <v>28435.94</v>
      </c>
    </row>
    <row r="22" spans="1:3">
      <c r="A22" t="s">
        <v>48</v>
      </c>
      <c r="B22">
        <f>SUM(B3:B21)</f>
        <v>975964693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NetData</vt:lpstr>
      <vt:lpstr>Net_Per1000</vt:lpstr>
      <vt:lpstr>CountryPop90</vt:lpstr>
      <vt:lpstr>CountryPop00</vt:lpstr>
      <vt:lpstr>CountryPop10</vt:lpstr>
      <vt:lpstr>CountryPop20</vt:lpstr>
    </vt:vector>
  </TitlesOfParts>
  <Company>Oregon Health and Science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Hebl Jr, Joey</dc:creator>
  <cp:lastModifiedBy>Hebl Jr, Joey</cp:lastModifiedBy>
  <dcterms:created xsi:type="dcterms:W3CDTF">2024-12-09T19:26:45Z</dcterms:created>
  <dcterms:modified xsi:type="dcterms:W3CDTF">2024-12-09T20:47:46Z</dcterms:modified>
</cp:coreProperties>
</file>