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.tmp.driveupload/"/>
    </mc:Choice>
  </mc:AlternateContent>
  <xr:revisionPtr revIDLastSave="18" documentId="8_{36868847-D479-4579-A039-9F7AC1B9E294}" xr6:coauthVersionLast="47" xr6:coauthVersionMax="47" xr10:uidLastSave="{D25152E3-9713-4969-AC5F-766BE9F170AF}"/>
  <bookViews>
    <workbookView xWindow="9510" yWindow="0" windowWidth="9780" windowHeight="10170" xr2:uid="{3F608A16-6D24-4F8C-AD8A-F14D4231154F}"/>
  </bookViews>
  <sheets>
    <sheet name="NetData" sheetId="1" r:id="rId1"/>
    <sheet name="Net_Per1000" sheetId="2" r:id="rId2"/>
    <sheet name="CountryPop90" sheetId="6" r:id="rId3"/>
    <sheet name="CountryPop00" sheetId="5" r:id="rId4"/>
    <sheet name="CountryPop10" sheetId="4" r:id="rId5"/>
    <sheet name="CountryPop20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B22" i="4"/>
  <c r="B22" i="5"/>
  <c r="B22" i="6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L2" i="2"/>
  <c r="K2" i="2"/>
  <c r="I2" i="2"/>
  <c r="H2" i="2"/>
  <c r="F2" i="2"/>
  <c r="E2" i="2"/>
  <c r="B22" i="1"/>
  <c r="B23" i="1" s="1"/>
  <c r="B24" i="1" s="1"/>
  <c r="C22" i="1"/>
  <c r="C23" i="1" s="1"/>
  <c r="C24" i="1" s="1"/>
  <c r="D22" i="1"/>
  <c r="D23" i="1" s="1"/>
  <c r="D24" i="1" s="1"/>
  <c r="E22" i="1"/>
  <c r="E23" i="1" s="1"/>
  <c r="E24" i="1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2" i="2"/>
  <c r="B3" i="2"/>
  <c r="D3" i="2" s="1"/>
  <c r="B4" i="2"/>
  <c r="B5" i="2"/>
  <c r="B6" i="2"/>
  <c r="B7" i="2"/>
  <c r="B8" i="2"/>
  <c r="B9" i="2"/>
  <c r="B10" i="2"/>
  <c r="B11" i="2"/>
  <c r="D11" i="2" s="1"/>
  <c r="B12" i="2"/>
  <c r="D12" i="2" s="1"/>
  <c r="B13" i="2"/>
  <c r="B14" i="2"/>
  <c r="B15" i="2"/>
  <c r="B16" i="2"/>
  <c r="B17" i="2"/>
  <c r="B18" i="2"/>
  <c r="B19" i="2"/>
  <c r="D19" i="2" s="1"/>
  <c r="B20" i="2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M6" i="2" l="1"/>
  <c r="G6" i="2"/>
  <c r="D16" i="2"/>
  <c r="D8" i="2"/>
  <c r="J20" i="2"/>
  <c r="J12" i="2"/>
  <c r="J4" i="2"/>
  <c r="M16" i="2"/>
  <c r="M8" i="2"/>
  <c r="M3" i="2"/>
  <c r="J19" i="2"/>
  <c r="J16" i="2"/>
  <c r="G18" i="2"/>
  <c r="J13" i="2"/>
  <c r="G14" i="2"/>
  <c r="D15" i="2"/>
  <c r="D14" i="2"/>
  <c r="D6" i="2"/>
  <c r="G15" i="2"/>
  <c r="M15" i="2"/>
  <c r="D13" i="2"/>
  <c r="G3" i="2"/>
  <c r="J15" i="2"/>
  <c r="J7" i="2"/>
  <c r="M19" i="2"/>
  <c r="G13" i="2"/>
  <c r="G5" i="2"/>
  <c r="M5" i="2"/>
  <c r="D2" i="2"/>
  <c r="D5" i="2"/>
  <c r="M20" i="2"/>
  <c r="M12" i="2"/>
  <c r="D20" i="2"/>
  <c r="D4" i="2"/>
  <c r="M18" i="2"/>
  <c r="M10" i="2"/>
  <c r="G9" i="2"/>
  <c r="D18" i="2"/>
  <c r="D10" i="2"/>
  <c r="J17" i="2"/>
  <c r="D17" i="2"/>
  <c r="D9" i="2"/>
  <c r="J10" i="2"/>
  <c r="M17" i="2"/>
  <c r="M9" i="2"/>
  <c r="J8" i="2"/>
  <c r="G8" i="2"/>
  <c r="M2" i="2"/>
  <c r="G10" i="2"/>
  <c r="G19" i="2"/>
  <c r="G7" i="2"/>
  <c r="G11" i="2"/>
  <c r="G2" i="2"/>
  <c r="G20" i="2"/>
  <c r="M11" i="2"/>
  <c r="G17" i="2"/>
  <c r="M14" i="2"/>
  <c r="J6" i="2"/>
  <c r="D7" i="2"/>
  <c r="M4" i="2"/>
  <c r="G4" i="2"/>
  <c r="J14" i="2"/>
  <c r="G12" i="2"/>
  <c r="J3" i="2"/>
  <c r="J2" i="2"/>
  <c r="J9" i="2"/>
  <c r="J18" i="2"/>
  <c r="G16" i="2"/>
  <c r="M13" i="2"/>
  <c r="J11" i="2"/>
  <c r="M7" i="2"/>
  <c r="J5" i="2"/>
  <c r="O3" i="2" l="1"/>
  <c r="R3" i="2"/>
  <c r="T3" i="2"/>
  <c r="P3" i="2"/>
  <c r="S3" i="2"/>
  <c r="Q3" i="2"/>
</calcChain>
</file>

<file path=xl/sharedStrings.xml><?xml version="1.0" encoding="utf-8"?>
<sst xmlns="http://schemas.openxmlformats.org/spreadsheetml/2006/main" count="159" uniqueCount="48">
  <si>
    <t>Countries</t>
  </si>
  <si>
    <t>Year</t>
  </si>
  <si>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</si>
  <si>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</si>
  <si>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</si>
  <si>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</si>
  <si>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</si>
  <si>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</si>
  <si>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</si>
  <si>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</si>
  <si>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</si>
  <si>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</si>
  <si>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</si>
  <si>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</si>
  <si>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</si>
  <si>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</si>
  <si>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</si>
  <si>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</si>
  <si>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</si>
  <si>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</si>
  <si>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</si>
  <si>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Net Out</t>
  </si>
  <si>
    <t>Country</t>
  </si>
  <si>
    <t>Population</t>
  </si>
  <si>
    <t>Population (in thousands)</t>
  </si>
  <si>
    <t>Population per 1000</t>
  </si>
  <si>
    <t>Per 1000</t>
  </si>
  <si>
    <t>NetIn_90</t>
  </si>
  <si>
    <t>NetOut_90</t>
  </si>
  <si>
    <t>NetNet_90</t>
  </si>
  <si>
    <t>NetOut_00</t>
  </si>
  <si>
    <t>NetIn_00</t>
  </si>
  <si>
    <t>NetNet_00</t>
  </si>
  <si>
    <t>NetOut_10</t>
  </si>
  <si>
    <t>NetIn_10</t>
  </si>
  <si>
    <t>NetNet_10</t>
  </si>
  <si>
    <t>NetOut_20</t>
  </si>
  <si>
    <t>NetIn_20</t>
  </si>
  <si>
    <t>NetNet_20</t>
  </si>
  <si>
    <t>Correlation</t>
  </si>
  <si>
    <t>90_20</t>
  </si>
  <si>
    <t>90_10</t>
  </si>
  <si>
    <t>90_00</t>
  </si>
  <si>
    <t>00_20</t>
  </si>
  <si>
    <t>00_10</t>
  </si>
  <si>
    <t>10_20</t>
  </si>
  <si>
    <t>Sum</t>
  </si>
  <si>
    <t>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</si>
</sst>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242424"/>
      <name val="Arial Unicode MS"/>
    </font>
    <font>
      <sz val="10"/>
      <color rgb="FF242424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166" fontId="0" fillId="0" borderId="0" xfId="0" applyNumberFormat="1"/>
    <xf numFmtId="0" fontId="1" fillId="2" borderId="3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60F5-945E-49BD-9173-B249C4EFD4DE}">
  <dimension ref="A1:E24"/>
  <sheetViews>
    <sheetView tabSelected="1" zoomScale="90" zoomScaleNormal="90" workbookViewId="0">
      <pane ySplit="2" topLeftCell="A9" activePane="bottomLeft" state="frozen"/>
      <selection pane="bottomLeft" activeCell="E24" sqref="E24"/>
    </sheetView>
  </sheetViews>
  <sheetFormatPr defaultRowHeight="14.5"/>
  <cols>
    <col min="1" max="1" width="15.1796875" customWidth="1"/>
  </cols>
  <sheetData>
    <row r="1" spans="1:5">
      <c r="A1" t="s">
        <v>1</v>
      </c>
      <c r="B1" s="6">
        <v>1990</v>
      </c>
      <c r="C1" s="6">
        <v>2000</v>
      </c>
      <c r="D1" s="6">
        <v>2010</v>
      </c>
      <c r="E1" s="6">
        <v>2020</v>
      </c>
    </row>
    <row r="2" spans="1:5">
      <c r="A2" t="s">
        <v>0</v>
      </c>
      <c r="B2" t="s">
        <v>21</v>
      </c>
      <c r="C2" t="s">
        <v>21</v>
      </c>
      <c r="D2" t="s">
        <v>21</v>
      </c>
      <c r="E2" t="s">
        <v>21</v>
      </c>
    </row>
    <row r="3" spans="1:5">
      <c r="A3" s="1" t="s">
        <v>2</v>
      </c>
      <c r="B3">
        <v>835860</v>
      </c>
      <c r="C3">
        <v>1002352</v>
      </c>
      <c r="D3">
        <v>1473807</v>
      </c>
      <c r="E3">
        <v>1898433</v>
      </c>
    </row>
    <row r="4" spans="1:5">
      <c r="A4" s="1" t="s">
        <v>3</v>
      </c>
      <c r="B4">
        <v>60983</v>
      </c>
      <c r="C4">
        <v>78401</v>
      </c>
      <c r="D4">
        <v>94993</v>
      </c>
      <c r="E4">
        <v>128062</v>
      </c>
    </row>
    <row r="5" spans="1:5">
      <c r="A5" s="1" t="s">
        <v>4</v>
      </c>
      <c r="B5">
        <v>137116</v>
      </c>
      <c r="C5">
        <v>155835</v>
      </c>
      <c r="D5">
        <v>201059</v>
      </c>
      <c r="E5">
        <v>494505</v>
      </c>
    </row>
    <row r="6" spans="1:5">
      <c r="A6" s="1" t="s">
        <v>5</v>
      </c>
      <c r="B6">
        <v>384572</v>
      </c>
      <c r="C6">
        <v>490644</v>
      </c>
      <c r="D6">
        <v>615605</v>
      </c>
      <c r="E6">
        <v>703136</v>
      </c>
    </row>
    <row r="7" spans="1:5">
      <c r="A7" s="1" t="s">
        <v>6</v>
      </c>
      <c r="B7">
        <v>65853</v>
      </c>
      <c r="C7">
        <v>128518</v>
      </c>
      <c r="D7">
        <v>276327</v>
      </c>
      <c r="E7">
        <v>1245860</v>
      </c>
    </row>
    <row r="8" spans="1:5">
      <c r="A8" s="1" t="s">
        <v>7</v>
      </c>
      <c r="B8">
        <v>74487</v>
      </c>
      <c r="C8">
        <v>81930</v>
      </c>
      <c r="D8">
        <v>99117</v>
      </c>
      <c r="E8">
        <v>1857719</v>
      </c>
    </row>
    <row r="9" spans="1:5">
      <c r="A9" s="1" t="s">
        <v>8</v>
      </c>
      <c r="B9">
        <v>191983</v>
      </c>
      <c r="C9">
        <v>281862</v>
      </c>
      <c r="D9">
        <v>368194</v>
      </c>
      <c r="E9">
        <v>474989</v>
      </c>
    </row>
    <row r="10" spans="1:5">
      <c r="A10" s="1" t="s">
        <v>9</v>
      </c>
      <c r="B10">
        <v>65500</v>
      </c>
      <c r="C10">
        <v>104667</v>
      </c>
      <c r="D10">
        <v>284620</v>
      </c>
      <c r="E10">
        <v>666550</v>
      </c>
    </row>
    <row r="11" spans="1:5">
      <c r="A11" s="1" t="s">
        <v>10</v>
      </c>
      <c r="B11">
        <v>43253</v>
      </c>
      <c r="C11">
        <v>29252</v>
      </c>
      <c r="D11">
        <v>37469</v>
      </c>
      <c r="E11">
        <v>39721</v>
      </c>
    </row>
    <row r="12" spans="1:5">
      <c r="A12" s="1" t="s">
        <v>11</v>
      </c>
      <c r="B12">
        <v>259445</v>
      </c>
      <c r="C12">
        <v>42640</v>
      </c>
      <c r="D12">
        <v>58843</v>
      </c>
      <c r="E12">
        <v>72827</v>
      </c>
    </row>
    <row r="13" spans="1:5">
      <c r="A13" s="1" t="s">
        <v>12</v>
      </c>
      <c r="B13">
        <v>267307</v>
      </c>
      <c r="C13">
        <v>25260</v>
      </c>
      <c r="D13">
        <v>24223</v>
      </c>
      <c r="E13">
        <v>34771</v>
      </c>
    </row>
    <row r="14" spans="1:5">
      <c r="A14" s="1" t="s">
        <v>13</v>
      </c>
      <c r="B14">
        <v>629141</v>
      </c>
      <c r="C14">
        <v>450970</v>
      </c>
      <c r="D14">
        <v>872808</v>
      </c>
      <c r="E14">
        <v>1056512</v>
      </c>
    </row>
    <row r="15" spans="1:5">
      <c r="A15" s="1" t="s">
        <v>14</v>
      </c>
      <c r="B15">
        <v>36202</v>
      </c>
      <c r="C15">
        <v>25702</v>
      </c>
      <c r="D15">
        <v>31573</v>
      </c>
      <c r="E15">
        <v>35761</v>
      </c>
    </row>
    <row r="16" spans="1:5">
      <c r="A16" s="1" t="s">
        <v>15</v>
      </c>
      <c r="B16">
        <v>36992</v>
      </c>
      <c r="C16">
        <v>51239</v>
      </c>
      <c r="D16">
        <v>108897</v>
      </c>
      <c r="E16">
        <v>245404</v>
      </c>
    </row>
    <row r="17" spans="1:5">
      <c r="A17" s="1" t="s">
        <v>16</v>
      </c>
      <c r="B17">
        <v>174423</v>
      </c>
      <c r="C17">
        <v>160606</v>
      </c>
      <c r="D17">
        <v>145768</v>
      </c>
      <c r="E17">
        <v>154188</v>
      </c>
    </row>
    <row r="18" spans="1:5">
      <c r="A18" s="1" t="s">
        <v>17</v>
      </c>
      <c r="B18">
        <v>35723</v>
      </c>
      <c r="C18">
        <v>41792</v>
      </c>
      <c r="D18">
        <v>67078</v>
      </c>
      <c r="E18">
        <v>1115937</v>
      </c>
    </row>
    <row r="19" spans="1:5">
      <c r="A19" s="1" t="s">
        <v>18</v>
      </c>
      <c r="B19">
        <v>7045480</v>
      </c>
      <c r="C19">
        <v>14026290</v>
      </c>
      <c r="D19">
        <v>18490076</v>
      </c>
      <c r="E19">
        <v>18696796</v>
      </c>
    </row>
    <row r="20" spans="1:5">
      <c r="A20" s="1" t="s">
        <v>19</v>
      </c>
      <c r="B20">
        <v>31541</v>
      </c>
      <c r="C20">
        <v>38238</v>
      </c>
      <c r="D20">
        <v>43080</v>
      </c>
      <c r="E20">
        <v>67309</v>
      </c>
    </row>
    <row r="21" spans="1:5">
      <c r="A21" s="1" t="s">
        <v>20</v>
      </c>
      <c r="B21">
        <v>677672</v>
      </c>
      <c r="C21">
        <v>677672</v>
      </c>
      <c r="D21">
        <v>1067282</v>
      </c>
      <c r="E21">
        <v>1053673</v>
      </c>
    </row>
    <row r="22" spans="1:5">
      <c r="A22" s="10" t="s">
        <v>46</v>
      </c>
      <c r="B22">
        <f>SUM(B3:B21)</f>
        <v>11053533</v>
      </c>
      <c r="C22">
        <f>SUM(C3:C21)</f>
        <v>17893870</v>
      </c>
      <c r="D22">
        <f>SUM(D3:D21)</f>
        <v>24360819</v>
      </c>
      <c r="E22">
        <f>SUM(E3:E21)</f>
        <v>30042153</v>
      </c>
    </row>
    <row r="23" spans="1:5">
      <c r="A23" s="10" t="s">
        <v>47</v>
      </c>
      <c r="B23">
        <f>B22/CountryPop90!$B$22</f>
        <v>1.6226128674015558E-2</v>
      </c>
      <c r="C23">
        <f>C22/CountryPop00!$B$22</f>
        <v>2.2632622760574782E-2</v>
      </c>
      <c r="D23">
        <f>D22/CountryPop10!$B$22</f>
        <v>2.7557864544407167E-2</v>
      </c>
      <c r="E23">
        <f>E22/CountryPop20!$B$22</f>
        <v>3.0782008012660761E-2</v>
      </c>
    </row>
    <row r="24" spans="1:5">
      <c r="A24" s="10" t="s">
        <v>26</v>
      </c>
      <c r="B24">
        <f>B23*1000</f>
        <v>16.226128674015559</v>
      </c>
      <c r="C24">
        <f t="shared" ref="C24:E24" si="0">C23*1000</f>
        <v>22.632622760574783</v>
      </c>
      <c r="D24">
        <f t="shared" si="0"/>
        <v>27.557864544407167</v>
      </c>
      <c r="E24">
        <f t="shared" si="0"/>
        <v>30.782008012660761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D219-4F4B-486A-A661-0CFC699F9716}">
  <dimension ref="A1:T20"/>
  <sheetViews>
    <sheetView topLeftCell="A10" workbookViewId="0">
      <selection activeCell="O9" sqref="O9"/>
    </sheetView>
  </sheetViews>
  <sheetFormatPr defaultRowHeight="14.5"/>
  <sheetData>
    <row r="1" spans="1:20">
      <c r="A1" t="s">
        <v>0</v>
      </c>
      <c r="B1" t="s">
        <v>28</v>
      </c>
      <c r="C1" t="s">
        <v>27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O1" s="11" t="s">
        <v>39</v>
      </c>
      <c r="P1" s="11"/>
      <c r="Q1" s="11"/>
      <c r="R1" s="11"/>
      <c r="S1" s="11"/>
      <c r="T1" s="11"/>
    </row>
    <row r="2" spans="1:20">
      <c r="A2" s="1" t="s">
        <v>2</v>
      </c>
      <c r="B2">
        <f>NetData!B3/CountryPop90!$C3</f>
        <v>25.517845640022102</v>
      </c>
      <c r="C2" t="e">
        <f>NetData!#REF!/CountryPop90!$C3</f>
        <v>#REF!</v>
      </c>
      <c r="D2" t="e">
        <f>C2-B2</f>
        <v>#REF!</v>
      </c>
      <c r="E2">
        <f>NetData!C3/CountryPop00!$C3</f>
        <v>26.934821784596398</v>
      </c>
      <c r="F2" t="e">
        <f>NetData!#REF!/CountryPop00!$C3</f>
        <v>#REF!</v>
      </c>
      <c r="G2" t="e">
        <f>F2-E2</f>
        <v>#REF!</v>
      </c>
      <c r="H2">
        <f>NetData!D3/CountryPop10!$C3</f>
        <v>36.737629264092298</v>
      </c>
      <c r="I2" t="e">
        <f>NetData!#REF!/CountryPop10!$C3</f>
        <v>#REF!</v>
      </c>
      <c r="J2" t="e">
        <f t="shared" ref="J2" si="0">I2-H2</f>
        <v>#REF!</v>
      </c>
      <c r="K2">
        <f>NetData!E3/CountryPop20!$C3</f>
        <v>41.837121028473604</v>
      </c>
      <c r="L2" t="e">
        <f>NetData!#REF!/CountryPop20!$C3</f>
        <v>#REF!</v>
      </c>
      <c r="M2" t="e">
        <f t="shared" ref="M2" si="1">L2-K2</f>
        <v>#REF!</v>
      </c>
      <c r="O2" s="8" t="s">
        <v>40</v>
      </c>
      <c r="P2" s="8" t="s">
        <v>41</v>
      </c>
      <c r="Q2" s="8" t="s">
        <v>42</v>
      </c>
      <c r="R2" s="8" t="s">
        <v>43</v>
      </c>
      <c r="S2" s="8" t="s">
        <v>44</v>
      </c>
      <c r="T2" s="8" t="s">
        <v>45</v>
      </c>
    </row>
    <row r="3" spans="1:20">
      <c r="A3" s="1" t="s">
        <v>3</v>
      </c>
      <c r="B3">
        <f>NetData!B4/CountryPop90!C4</f>
        <v>8.593762881026489</v>
      </c>
      <c r="C3" t="e">
        <f>NetData!#REF!/CountryPop90!$C4</f>
        <v>#REF!</v>
      </c>
      <c r="D3" t="e">
        <f t="shared" ref="D3:D20" si="2">C3-B3</f>
        <v>#REF!</v>
      </c>
      <c r="E3">
        <f>NetData!C4/CountryPop00!$C4</f>
        <v>9.1096954855876344</v>
      </c>
      <c r="F3" t="e">
        <f>NetData!#REF!/CountryPop00!$C4</f>
        <v>#REF!</v>
      </c>
      <c r="G3" t="e">
        <f t="shared" ref="G3:G20" si="3">F3-E3</f>
        <v>#REF!</v>
      </c>
      <c r="H3">
        <f>NetData!D4/CountryPop10!$C4</f>
        <v>9.3291869407292722</v>
      </c>
      <c r="I3" t="e">
        <f>NetData!#REF!/CountryPop10!$C4</f>
        <v>#REF!</v>
      </c>
      <c r="J3" t="e">
        <f t="shared" ref="J3:J20" si="4">I3-H3</f>
        <v>#REF!</v>
      </c>
      <c r="K3">
        <f>NetData!E4/CountryPop20!$C4</f>
        <v>10.837742003651059</v>
      </c>
      <c r="L3" t="e">
        <f>NetData!#REF!/CountryPop20!$C4</f>
        <v>#REF!</v>
      </c>
      <c r="M3" t="e">
        <f t="shared" ref="M3:M20" si="5">L3-K3</f>
        <v>#REF!</v>
      </c>
      <c r="O3" s="9" t="e">
        <f>CORREL(D2:D20,M2:M20)</f>
        <v>#REF!</v>
      </c>
      <c r="P3" s="9" t="e">
        <f>CORREL(D2:D20,J2:J20)</f>
        <v>#REF!</v>
      </c>
      <c r="Q3" s="9" t="e">
        <f>CORREL(D2:D20,G2:G20)</f>
        <v>#REF!</v>
      </c>
      <c r="R3" s="9" t="e">
        <f>CORREL(G2:G20,M2:M20)</f>
        <v>#REF!</v>
      </c>
      <c r="S3" s="9" t="e">
        <f>CORREL(G2:G20,J2:J20)</f>
        <v>#REF!</v>
      </c>
      <c r="T3" s="9" t="e">
        <f>CORREL(J2:J20,M2:M20)</f>
        <v>#REF!</v>
      </c>
    </row>
    <row r="4" spans="1:20">
      <c r="A4" s="1" t="s">
        <v>4</v>
      </c>
      <c r="B4">
        <f>NetData!B5/CountryPop90!C5</f>
        <v>0.9193578980118996</v>
      </c>
      <c r="C4" t="e">
        <f>NetData!#REF!/CountryPop90!$C5</f>
        <v>#REF!</v>
      </c>
      <c r="D4" t="e">
        <f t="shared" si="2"/>
        <v>#REF!</v>
      </c>
      <c r="E4">
        <f>NetData!C5/CountryPop00!$C5</f>
        <v>0.89550936318006735</v>
      </c>
      <c r="F4" t="e">
        <f>NetData!#REF!/CountryPop00!$C5</f>
        <v>#REF!</v>
      </c>
      <c r="G4" t="e">
        <f t="shared" si="3"/>
        <v>#REF!</v>
      </c>
      <c r="H4">
        <f>NetData!D5/CountryPop10!$C5</f>
        <v>1.054012517857976</v>
      </c>
      <c r="I4" t="e">
        <f>NetData!#REF!/CountryPop10!$C5</f>
        <v>#REF!</v>
      </c>
      <c r="J4" t="e">
        <f t="shared" si="4"/>
        <v>#REF!</v>
      </c>
      <c r="K4">
        <f>NetData!E5/CountryPop20!$C5</f>
        <v>2.334773371104816</v>
      </c>
      <c r="L4" t="e">
        <f>NetData!#REF!/CountryPop20!$C5</f>
        <v>#REF!</v>
      </c>
      <c r="M4" t="e">
        <f t="shared" si="5"/>
        <v>#REF!</v>
      </c>
    </row>
    <row r="5" spans="1:20">
      <c r="A5" s="1" t="s">
        <v>5</v>
      </c>
      <c r="B5">
        <f>NetData!B6/CountryPop90!C6</f>
        <v>13.838780929822198</v>
      </c>
      <c r="C5" t="e">
        <f>NetData!#REF!/CountryPop90!$C6</f>
        <v>#REF!</v>
      </c>
      <c r="D5" t="e">
        <f t="shared" si="2"/>
        <v>#REF!</v>
      </c>
      <c r="E5">
        <f>NetData!C6/CountryPop00!$C6</f>
        <v>15.882660389963654</v>
      </c>
      <c r="F5" t="e">
        <f>NetData!#REF!/CountryPop00!$C6</f>
        <v>#REF!</v>
      </c>
      <c r="G5" t="e">
        <f t="shared" si="3"/>
        <v>#REF!</v>
      </c>
      <c r="H5">
        <f>NetData!D6/CountryPop10!$C6</f>
        <v>18.001778991767029</v>
      </c>
      <c r="I5" t="e">
        <f>NetData!#REF!/CountryPop10!$C6</f>
        <v>#REF!</v>
      </c>
      <c r="J5" t="e">
        <f t="shared" si="4"/>
        <v>#REF!</v>
      </c>
      <c r="K5">
        <f>NetData!E6/CountryPop20!$C6</f>
        <v>18.501028726619211</v>
      </c>
      <c r="L5" t="e">
        <f>NetData!#REF!/CountryPop20!$C6</f>
        <v>#REF!</v>
      </c>
      <c r="M5" t="e">
        <f t="shared" si="5"/>
        <v>#REF!</v>
      </c>
    </row>
    <row r="6" spans="1:20">
      <c r="A6" s="1" t="s">
        <v>6</v>
      </c>
      <c r="B6">
        <f>NetData!B7/CountryPop90!C7</f>
        <v>4.9008065385167239</v>
      </c>
      <c r="C6" t="e">
        <f>NetData!#REF!/CountryPop90!$C7</f>
        <v>#REF!</v>
      </c>
      <c r="D6" t="e">
        <f t="shared" si="2"/>
        <v>#REF!</v>
      </c>
      <c r="E6">
        <f>NetData!C7/CountryPop00!$C7</f>
        <v>8.2895403748566299</v>
      </c>
      <c r="F6" t="e">
        <f>NetData!#REF!/CountryPop00!$C7</f>
        <v>#REF!</v>
      </c>
      <c r="G6" t="e">
        <f t="shared" si="3"/>
        <v>#REF!</v>
      </c>
      <c r="H6">
        <f>NetData!D7/CountryPop10!$C7</f>
        <v>16.082855337589393</v>
      </c>
      <c r="I6" t="e">
        <f>NetData!#REF!/CountryPop10!$C7</f>
        <v>#REF!</v>
      </c>
      <c r="J6" t="e">
        <f t="shared" si="4"/>
        <v>#REF!</v>
      </c>
      <c r="K6">
        <f>NetData!E7/CountryPop20!$C7</f>
        <v>64.316978121097179</v>
      </c>
      <c r="L6" t="e">
        <f>NetData!#REF!/CountryPop20!$C7</f>
        <v>#REF!</v>
      </c>
      <c r="M6" t="e">
        <f t="shared" si="5"/>
        <v>#REF!</v>
      </c>
    </row>
    <row r="7" spans="1:20">
      <c r="A7" s="1" t="s">
        <v>7</v>
      </c>
      <c r="B7">
        <f>NetData!B8/CountryPop90!C8</f>
        <v>2.2961419193079373</v>
      </c>
      <c r="C7" t="e">
        <f>NetData!#REF!/CountryPop90!$C8</f>
        <v>#REF!</v>
      </c>
      <c r="D7" t="e">
        <f t="shared" si="2"/>
        <v>#REF!</v>
      </c>
      <c r="E7">
        <f>NetData!C8/CountryPop00!$C8</f>
        <v>2.0959360023478166</v>
      </c>
      <c r="F7" t="e">
        <f>NetData!#REF!/CountryPop00!$C8</f>
        <v>#REF!</v>
      </c>
      <c r="G7" t="e">
        <f t="shared" si="3"/>
        <v>#REF!</v>
      </c>
      <c r="H7">
        <f>NetData!D8/CountryPop10!$C8</f>
        <v>2.2135537461176216</v>
      </c>
      <c r="I7" t="e">
        <f>NetData!#REF!/CountryPop10!$C8</f>
        <v>#REF!</v>
      </c>
      <c r="J7" t="e">
        <f t="shared" si="4"/>
        <v>#REF!</v>
      </c>
      <c r="K7">
        <f>NetData!E8/CountryPop20!$C8</f>
        <v>36.692062217582198</v>
      </c>
      <c r="L7" t="e">
        <f>NetData!#REF!/CountryPop20!$C8</f>
        <v>#REF!</v>
      </c>
      <c r="M7" t="e">
        <f t="shared" si="5"/>
        <v>#REF!</v>
      </c>
    </row>
    <row r="8" spans="1:20">
      <c r="A8" s="1" t="s">
        <v>8</v>
      </c>
      <c r="B8">
        <f>NetData!B9/CountryPop90!C9</f>
        <v>60.78772029979865</v>
      </c>
      <c r="C8" t="e">
        <f>NetData!#REF!/CountryPop90!$C9</f>
        <v>#REF!</v>
      </c>
      <c r="D8" t="e">
        <f t="shared" si="2"/>
        <v>#REF!</v>
      </c>
      <c r="E8">
        <f>NetData!C9/CountryPop00!$C9</f>
        <v>71.579673406407437</v>
      </c>
      <c r="F8" t="e">
        <f>NetData!#REF!/CountryPop00!$C9</f>
        <v>#REF!</v>
      </c>
      <c r="G8" t="e">
        <f t="shared" si="3"/>
        <v>#REF!</v>
      </c>
      <c r="H8">
        <f>NetData!D9/CountryPop10!$C9</f>
        <v>80.815880557362092</v>
      </c>
      <c r="I8" t="e">
        <f>NetData!#REF!/CountryPop10!$C9</f>
        <v>#REF!</v>
      </c>
      <c r="J8" t="e">
        <f t="shared" si="4"/>
        <v>#REF!</v>
      </c>
      <c r="K8">
        <f>NetData!E9/CountryPop20!$C9</f>
        <v>94.350199103394118</v>
      </c>
      <c r="L8" t="e">
        <f>NetData!#REF!/CountryPop20!$C9</f>
        <v>#REF!</v>
      </c>
      <c r="M8" t="e">
        <f t="shared" si="5"/>
        <v>#REF!</v>
      </c>
    </row>
    <row r="9" spans="1:20">
      <c r="A9" s="1" t="s">
        <v>9</v>
      </c>
      <c r="B9">
        <f>NetData!B10/CountryPop90!C10</f>
        <v>6.2537761350555945</v>
      </c>
      <c r="C9" t="e">
        <f>NetData!#REF!/CountryPop90!$C10</f>
        <v>#REF!</v>
      </c>
      <c r="D9" t="e">
        <f t="shared" si="2"/>
        <v>#REF!</v>
      </c>
      <c r="E9">
        <f>NetData!C10/CountryPop00!$C10</f>
        <v>8.2485072941921889</v>
      </c>
      <c r="F9" t="e">
        <f>NetData!#REF!/CountryPop00!$C10</f>
        <v>#REF!</v>
      </c>
      <c r="G9" t="e">
        <f t="shared" si="3"/>
        <v>#REF!</v>
      </c>
      <c r="H9">
        <f>NetData!D10/CountryPop10!$C10</f>
        <v>18.87814397506509</v>
      </c>
      <c r="I9" t="e">
        <f>NetData!#REF!/CountryPop10!$C10</f>
        <v>#REF!</v>
      </c>
      <c r="J9" t="e">
        <f t="shared" si="4"/>
        <v>#REF!</v>
      </c>
      <c r="K9">
        <f>NetData!E10/CountryPop20!$C10</f>
        <v>37.988576811300817</v>
      </c>
      <c r="L9" t="e">
        <f>NetData!#REF!/CountryPop20!$C10</f>
        <v>#REF!</v>
      </c>
      <c r="M9" t="e">
        <f t="shared" si="5"/>
        <v>#REF!</v>
      </c>
    </row>
    <row r="10" spans="1:20">
      <c r="A10" s="1" t="s">
        <v>10</v>
      </c>
      <c r="B10">
        <f>NetData!B11/CountryPop90!C11</f>
        <v>8.0102212593750135</v>
      </c>
      <c r="C10" t="e">
        <f>NetData!#REF!/CountryPop90!$C11</f>
        <v>#REF!</v>
      </c>
      <c r="D10" t="e">
        <f t="shared" si="2"/>
        <v>#REF!</v>
      </c>
      <c r="E10">
        <f>NetData!C11/CountryPop00!$C11</f>
        <v>4.9217909382984217</v>
      </c>
      <c r="F10" t="e">
        <f>NetData!#REF!/CountryPop00!$C11</f>
        <v>#REF!</v>
      </c>
      <c r="G10" t="e">
        <f t="shared" si="3"/>
        <v>#REF!</v>
      </c>
      <c r="H10">
        <f>NetData!D11/CountryPop10!$C11</f>
        <v>6.1745983066944028</v>
      </c>
      <c r="I10" t="e">
        <f>NetData!#REF!/CountryPop10!$C11</f>
        <v>#REF!</v>
      </c>
      <c r="J10" t="e">
        <f t="shared" si="4"/>
        <v>#REF!</v>
      </c>
      <c r="K10">
        <f>NetData!E11/CountryPop20!$C11</f>
        <v>6.3709836907244375</v>
      </c>
      <c r="L10" t="e">
        <f>NetData!#REF!/CountryPop20!$C11</f>
        <v>#REF!</v>
      </c>
      <c r="M10" t="e">
        <f t="shared" si="5"/>
        <v>#REF!</v>
      </c>
    </row>
    <row r="11" spans="1:20">
      <c r="A11" s="1" t="s">
        <v>11</v>
      </c>
      <c r="B11">
        <f>NetData!B12/CountryPop90!C12</f>
        <v>28.748091503243351</v>
      </c>
      <c r="C11" t="e">
        <f>NetData!#REF!/CountryPop90!$C12</f>
        <v>#REF!</v>
      </c>
      <c r="D11" t="e">
        <f t="shared" si="2"/>
        <v>#REF!</v>
      </c>
      <c r="E11">
        <f>NetData!C12/CountryPop00!$C12</f>
        <v>3.6451946691250643</v>
      </c>
      <c r="F11" t="e">
        <f>NetData!#REF!/CountryPop00!$C12</f>
        <v>#REF!</v>
      </c>
      <c r="G11" t="e">
        <f t="shared" si="3"/>
        <v>#REF!</v>
      </c>
      <c r="H11">
        <f>NetData!D12/CountryPop10!$C12</f>
        <v>4.0581065856594769</v>
      </c>
      <c r="I11" t="e">
        <f>NetData!#REF!/CountryPop10!$C12</f>
        <v>#REF!</v>
      </c>
      <c r="J11" t="e">
        <f t="shared" si="4"/>
        <v>#REF!</v>
      </c>
      <c r="K11">
        <f>NetData!E12/CountryPop20!$C12</f>
        <v>4.1957502092056238</v>
      </c>
      <c r="L11" t="e">
        <f>NetData!#REF!/CountryPop20!$C12</f>
        <v>#REF!</v>
      </c>
      <c r="M11" t="e">
        <f t="shared" si="5"/>
        <v>#REF!</v>
      </c>
    </row>
    <row r="12" spans="1:20">
      <c r="A12" s="1" t="s">
        <v>12</v>
      </c>
      <c r="B12">
        <f>NetData!B13/CountryPop90!C13</f>
        <v>53.670855882165739</v>
      </c>
      <c r="C12" t="e">
        <f>NetData!#REF!/CountryPop90!$C13</f>
        <v>#REF!</v>
      </c>
      <c r="D12" t="e">
        <f t="shared" si="2"/>
        <v>#REF!</v>
      </c>
      <c r="E12">
        <f>NetData!C13/CountryPop00!$C13</f>
        <v>3.895142636854279</v>
      </c>
      <c r="F12" t="e">
        <f>NetData!#REF!/CountryPop00!$C13</f>
        <v>#REF!</v>
      </c>
      <c r="G12" t="e">
        <f t="shared" si="3"/>
        <v>#REF!</v>
      </c>
      <c r="H12">
        <f>NetData!D13/CountryPop10!$C13</f>
        <v>3.0105679972259476</v>
      </c>
      <c r="I12" t="e">
        <f>NetData!#REF!/CountryPop10!$C13</f>
        <v>#REF!</v>
      </c>
      <c r="J12" t="e">
        <f t="shared" si="4"/>
        <v>#REF!</v>
      </c>
      <c r="K12">
        <f>NetData!E13/CountryPop20!$C13</f>
        <v>3.5105885574258524</v>
      </c>
      <c r="L12" t="e">
        <f>NetData!#REF!/CountryPop20!$C13</f>
        <v>#REF!</v>
      </c>
      <c r="M12" t="e">
        <f t="shared" si="5"/>
        <v>#REF!</v>
      </c>
    </row>
    <row r="13" spans="1:20">
      <c r="A13" s="1" t="s">
        <v>13</v>
      </c>
      <c r="B13">
        <f>NetData!B14/CountryPop90!C14</f>
        <v>7.7433076784520098</v>
      </c>
      <c r="C13" t="e">
        <f>NetData!#REF!/CountryPop90!$C14</f>
        <v>#REF!</v>
      </c>
      <c r="D13" t="e">
        <f t="shared" si="2"/>
        <v>#REF!</v>
      </c>
      <c r="E13">
        <f>NetData!C14/CountryPop00!$C14</f>
        <v>4.6261203906157906</v>
      </c>
      <c r="F13" t="e">
        <f>NetData!#REF!/CountryPop00!$C14</f>
        <v>#REF!</v>
      </c>
      <c r="G13" t="e">
        <f t="shared" si="3"/>
        <v>#REF!</v>
      </c>
      <c r="H13">
        <f>NetData!D14/CountryPop10!$C14</f>
        <v>7.7695825021775198</v>
      </c>
      <c r="I13" t="e">
        <f>NetData!#REF!/CountryPop10!$C14</f>
        <v>#REF!</v>
      </c>
      <c r="J13" t="e">
        <f t="shared" si="4"/>
        <v>#REF!</v>
      </c>
      <c r="K13">
        <f>NetData!E14/CountryPop20!$C14</f>
        <v>8.1942871412976039</v>
      </c>
      <c r="L13" t="e">
        <f>NetData!#REF!/CountryPop20!$C14</f>
        <v>#REF!</v>
      </c>
      <c r="M13" t="e">
        <f t="shared" si="5"/>
        <v>#REF!</v>
      </c>
    </row>
    <row r="14" spans="1:20">
      <c r="A14" s="1" t="s">
        <v>14</v>
      </c>
      <c r="B14">
        <f>NetData!B15/CountryPop90!C15</f>
        <v>8.6970559929735511</v>
      </c>
      <c r="C14" t="e">
        <f>NetData!#REF!/CountryPop90!$C15</f>
        <v>#REF!</v>
      </c>
      <c r="D14" t="e">
        <f t="shared" si="2"/>
        <v>#REF!</v>
      </c>
      <c r="E14">
        <f>NetData!C15/CountryPop00!$C15</f>
        <v>5.0654316121403236</v>
      </c>
      <c r="F14" t="e">
        <f>NetData!#REF!/CountryPop00!$C15</f>
        <v>#REF!</v>
      </c>
      <c r="G14" t="e">
        <f t="shared" si="3"/>
        <v>#REF!</v>
      </c>
      <c r="H14">
        <f>NetData!D15/CountryPop10!$C15</f>
        <v>5.4230504981106149</v>
      </c>
      <c r="I14" t="e">
        <f>NetData!#REF!/CountryPop10!$C15</f>
        <v>#REF!</v>
      </c>
      <c r="J14" t="e">
        <f t="shared" si="4"/>
        <v>#REF!</v>
      </c>
      <c r="K14">
        <f>NetData!E15/CountryPop20!$C15</f>
        <v>5.3982502067308982</v>
      </c>
      <c r="L14" t="e">
        <f>NetData!#REF!/CountryPop20!$C15</f>
        <v>#REF!</v>
      </c>
      <c r="M14" t="e">
        <f t="shared" si="5"/>
        <v>#REF!</v>
      </c>
    </row>
    <row r="15" spans="1:20">
      <c r="A15" s="1" t="s">
        <v>15</v>
      </c>
      <c r="B15">
        <f>NetData!B16/CountryPop90!C16</f>
        <v>15.064447017266367</v>
      </c>
      <c r="C15" t="e">
        <f>NetData!#REF!/CountryPop90!$C16</f>
        <v>#REF!</v>
      </c>
      <c r="D15" t="e">
        <f t="shared" si="2"/>
        <v>#REF!</v>
      </c>
      <c r="E15">
        <f>NetData!C16/CountryPop00!$C16</f>
        <v>18.04713126374298</v>
      </c>
      <c r="F15" t="e">
        <f>NetData!#REF!/CountryPop00!$C16</f>
        <v>#REF!</v>
      </c>
      <c r="G15" t="e">
        <f t="shared" si="3"/>
        <v>#REF!</v>
      </c>
      <c r="H15">
        <f>NetData!D16/CountryPop10!$C16</f>
        <v>31.973863509241404</v>
      </c>
      <c r="I15" t="e">
        <f>NetData!#REF!/CountryPop10!$C16</f>
        <v>#REF!</v>
      </c>
      <c r="J15" t="e">
        <f t="shared" si="4"/>
        <v>#REF!</v>
      </c>
      <c r="K15">
        <f>NetData!E16/CountryPop20!$C16</f>
        <v>56.875377048169696</v>
      </c>
      <c r="L15" t="e">
        <f>NetData!#REF!/CountryPop20!$C16</f>
        <v>#REF!</v>
      </c>
      <c r="M15" t="e">
        <f t="shared" si="5"/>
        <v>#REF!</v>
      </c>
    </row>
    <row r="16" spans="1:20">
      <c r="A16" s="1" t="s">
        <v>16</v>
      </c>
      <c r="B16">
        <f>NetData!B17/CountryPop90!C17</f>
        <v>42.969860519107982</v>
      </c>
      <c r="C16" t="e">
        <f>NetData!#REF!/CountryPop90!$C17</f>
        <v>#REF!</v>
      </c>
      <c r="D16" t="e">
        <f t="shared" si="2"/>
        <v>#REF!</v>
      </c>
      <c r="E16">
        <f>NetData!C17/CountryPop00!$C17</f>
        <v>29.222343522561864</v>
      </c>
      <c r="F16" t="e">
        <f>NetData!#REF!/CountryPop00!$C17</f>
        <v>#REF!</v>
      </c>
      <c r="G16" t="e">
        <f t="shared" si="3"/>
        <v>#REF!</v>
      </c>
      <c r="H16">
        <f>NetData!D17/CountryPop10!$C17</f>
        <v>22.959206174200663</v>
      </c>
      <c r="I16" t="e">
        <f>NetData!#REF!/CountryPop10!$C17</f>
        <v>#REF!</v>
      </c>
      <c r="J16" t="e">
        <f t="shared" si="4"/>
        <v>#REF!</v>
      </c>
      <c r="K16">
        <f>NetData!E17/CountryPop20!$C17</f>
        <v>21.617550442773666</v>
      </c>
      <c r="L16" t="e">
        <f>NetData!#REF!/CountryPop20!$C17</f>
        <v>#REF!</v>
      </c>
      <c r="M16" t="e">
        <f t="shared" si="5"/>
        <v>#REF!</v>
      </c>
    </row>
    <row r="17" spans="1:13">
      <c r="A17" s="1" t="s">
        <v>17</v>
      </c>
      <c r="B17">
        <f>NetData!B18/CountryPop90!C18</f>
        <v>1.6226832429917168</v>
      </c>
      <c r="C17" t="e">
        <f>NetData!#REF!/CountryPop90!$C18</f>
        <v>#REF!</v>
      </c>
      <c r="D17" t="e">
        <f t="shared" si="2"/>
        <v>#REF!</v>
      </c>
      <c r="E17">
        <f>NetData!C18/CountryPop00!$C18</f>
        <v>1.6285558413217989</v>
      </c>
      <c r="F17" t="e">
        <f>NetData!#REF!/CountryPop00!$C18</f>
        <v>#REF!</v>
      </c>
      <c r="G17" t="e">
        <f t="shared" si="3"/>
        <v>#REF!</v>
      </c>
      <c r="H17">
        <f>NetData!D18/CountryPop10!$C18</f>
        <v>2.3069479585446837</v>
      </c>
      <c r="I17" t="e">
        <f>NetData!#REF!/CountryPop10!$C18</f>
        <v>#REF!</v>
      </c>
      <c r="J17" t="e">
        <f t="shared" si="4"/>
        <v>#REF!</v>
      </c>
      <c r="K17">
        <f>NetData!E18/CountryPop20!$C18</f>
        <v>33.845139554481833</v>
      </c>
      <c r="L17" t="e">
        <f>NetData!#REF!/CountryPop20!$C18</f>
        <v>#REF!</v>
      </c>
      <c r="M17" t="e">
        <f t="shared" si="5"/>
        <v>#REF!</v>
      </c>
    </row>
    <row r="18" spans="1:13">
      <c r="A18" s="1" t="s">
        <v>18</v>
      </c>
      <c r="B18">
        <f>NetData!B19/CountryPop90!C19</f>
        <v>28.328107424991529</v>
      </c>
      <c r="C18" t="e">
        <f>NetData!#REF!/CountryPop90!$C19</f>
        <v>#REF!</v>
      </c>
      <c r="D18" t="e">
        <f t="shared" si="2"/>
        <v>#REF!</v>
      </c>
      <c r="E18">
        <f>NetData!C19/CountryPop00!$C19</f>
        <v>49.84078957947218</v>
      </c>
      <c r="F18" t="e">
        <f>NetData!#REF!/CountryPop00!$C19</f>
        <v>#REF!</v>
      </c>
      <c r="G18" t="e">
        <f t="shared" si="3"/>
        <v>#REF!</v>
      </c>
      <c r="H18">
        <f>NetData!D19/CountryPop10!$C19</f>
        <v>59.770792269973803</v>
      </c>
      <c r="I18" t="e">
        <f>NetData!#REF!/CountryPop10!$C19</f>
        <v>#REF!</v>
      </c>
      <c r="J18" t="e">
        <f t="shared" si="4"/>
        <v>#REF!</v>
      </c>
      <c r="K18">
        <f>NetData!E19/CountryPop20!$C19</f>
        <v>56.48533612499677</v>
      </c>
      <c r="L18" t="e">
        <f>NetData!#REF!/CountryPop20!$C19</f>
        <v>#REF!</v>
      </c>
      <c r="M18" t="e">
        <f t="shared" si="5"/>
        <v>#REF!</v>
      </c>
    </row>
    <row r="19" spans="1:13">
      <c r="A19" s="1" t="s">
        <v>19</v>
      </c>
      <c r="B19">
        <f>NetData!B20/CountryPop90!C20</f>
        <v>10.118985746606043</v>
      </c>
      <c r="C19" t="e">
        <f>NetData!#REF!/CountryPop90!$C20</f>
        <v>#REF!</v>
      </c>
      <c r="D19" t="e">
        <f t="shared" si="2"/>
        <v>#REF!</v>
      </c>
      <c r="E19">
        <f>NetData!C20/CountryPop00!$C20</f>
        <v>11.458795325142344</v>
      </c>
      <c r="F19" t="e">
        <f>NetData!#REF!/CountryPop00!$C20</f>
        <v>#REF!</v>
      </c>
      <c r="G19" t="e">
        <f t="shared" si="3"/>
        <v>#REF!</v>
      </c>
      <c r="H19">
        <f>NetData!D20/CountryPop10!$C20</f>
        <v>12.834476956334179</v>
      </c>
      <c r="I19" t="e">
        <f>NetData!#REF!/CountryPop10!$C20</f>
        <v>#REF!</v>
      </c>
      <c r="J19" t="e">
        <f t="shared" si="4"/>
        <v>#REF!</v>
      </c>
      <c r="K19">
        <f>NetData!E20/CountryPop20!$C20</f>
        <v>19.376577914806273</v>
      </c>
      <c r="L19" t="e">
        <f>NetData!#REF!/CountryPop20!$C20</f>
        <v>#REF!</v>
      </c>
      <c r="M19" t="e">
        <f t="shared" si="5"/>
        <v>#REF!</v>
      </c>
    </row>
    <row r="20" spans="1:13">
      <c r="A20" s="1" t="s">
        <v>20</v>
      </c>
      <c r="B20">
        <f>NetData!B21/CountryPop90!C21</f>
        <v>34.311500437531471</v>
      </c>
      <c r="C20" t="e">
        <f>NetData!#REF!/CountryPop90!$C21</f>
        <v>#REF!</v>
      </c>
      <c r="D20" t="e">
        <f t="shared" si="2"/>
        <v>#REF!</v>
      </c>
      <c r="E20">
        <f>NetData!C21/CountryPop00!$C21</f>
        <v>29.169071517882688</v>
      </c>
      <c r="F20" t="e">
        <f>NetData!#REF!/CountryPop00!$C21</f>
        <v>#REF!</v>
      </c>
      <c r="G20" t="e">
        <f t="shared" si="3"/>
        <v>#REF!</v>
      </c>
      <c r="H20">
        <f>NetData!D21/CountryPop10!$C21</f>
        <v>37.014903839567701</v>
      </c>
      <c r="I20" t="e">
        <f>NetData!#REF!/CountryPop10!$C21</f>
        <v>#REF!</v>
      </c>
      <c r="J20" t="e">
        <f t="shared" si="4"/>
        <v>#REF!</v>
      </c>
      <c r="K20">
        <f>NetData!E21/CountryPop20!$C21</f>
        <v>37.054270054023185</v>
      </c>
      <c r="L20" t="e">
        <f>NetData!#REF!/CountryPop20!$C21</f>
        <v>#REF!</v>
      </c>
      <c r="M20" t="e">
        <f t="shared" si="5"/>
        <v>#REF!</v>
      </c>
    </row>
  </sheetData>
  <mergeCells count="1">
    <mergeCell ref="O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9A25-7FCE-458B-9B69-77F4144A4691}">
  <dimension ref="A1:C22"/>
  <sheetViews>
    <sheetView topLeftCell="A4" workbookViewId="0">
      <selection activeCell="C22" sqref="C22"/>
    </sheetView>
  </sheetViews>
  <sheetFormatPr defaultRowHeight="14.5"/>
  <cols>
    <col min="1" max="1" width="11.36328125" customWidth="1"/>
    <col min="2" max="2" width="12.90625" customWidth="1"/>
    <col min="3" max="3" width="12.81640625" customWidth="1"/>
  </cols>
  <sheetData>
    <row r="1" spans="1:3">
      <c r="A1" s="7">
        <v>1990</v>
      </c>
      <c r="B1" s="7"/>
      <c r="C1" s="7"/>
    </row>
    <row r="2" spans="1:3">
      <c r="A2" s="2" t="s">
        <v>22</v>
      </c>
      <c r="B2" s="2" t="s">
        <v>23</v>
      </c>
      <c r="C2" s="2" t="s">
        <v>26</v>
      </c>
    </row>
    <row r="3" spans="1:3">
      <c r="A3" t="s">
        <v>2</v>
      </c>
      <c r="B3">
        <v>32755900</v>
      </c>
      <c r="C3">
        <f>B3/1000</f>
        <v>32755.9</v>
      </c>
    </row>
    <row r="4" spans="1:3">
      <c r="A4" t="s">
        <v>3</v>
      </c>
      <c r="B4">
        <v>7096193</v>
      </c>
      <c r="C4">
        <f t="shared" ref="C4:C21" si="0">B4/1000</f>
        <v>7096.1930000000002</v>
      </c>
    </row>
    <row r="5" spans="1:3">
      <c r="A5" t="s">
        <v>4</v>
      </c>
      <c r="B5">
        <v>149143223</v>
      </c>
      <c r="C5">
        <f t="shared" si="0"/>
        <v>149143.223</v>
      </c>
    </row>
    <row r="6" spans="1:3">
      <c r="A6" t="s">
        <v>5</v>
      </c>
      <c r="B6">
        <v>27789442</v>
      </c>
      <c r="C6">
        <f t="shared" si="0"/>
        <v>27789.441999999999</v>
      </c>
    </row>
    <row r="7" spans="1:3">
      <c r="A7" t="s">
        <v>6</v>
      </c>
      <c r="B7">
        <v>13437176</v>
      </c>
      <c r="C7">
        <f t="shared" si="0"/>
        <v>13437.175999999999</v>
      </c>
    </row>
    <row r="8" spans="1:3">
      <c r="A8" t="s">
        <v>7</v>
      </c>
      <c r="B8">
        <v>32440068</v>
      </c>
      <c r="C8">
        <f t="shared" si="0"/>
        <v>32440.067999999999</v>
      </c>
    </row>
    <row r="9" spans="1:3">
      <c r="A9" t="s">
        <v>8</v>
      </c>
      <c r="B9">
        <v>3158253</v>
      </c>
      <c r="C9">
        <f t="shared" si="0"/>
        <v>3158.2530000000002</v>
      </c>
    </row>
    <row r="10" spans="1:3">
      <c r="A10" t="s">
        <v>9</v>
      </c>
      <c r="B10">
        <v>10473672</v>
      </c>
      <c r="C10">
        <f t="shared" si="0"/>
        <v>10473.672</v>
      </c>
    </row>
    <row r="11" spans="1:3">
      <c r="A11" t="s">
        <v>10</v>
      </c>
      <c r="B11">
        <v>5399726</v>
      </c>
      <c r="C11">
        <f t="shared" si="0"/>
        <v>5399.7259999999997</v>
      </c>
    </row>
    <row r="12" spans="1:3">
      <c r="A12" t="s">
        <v>11</v>
      </c>
      <c r="B12">
        <v>9024773</v>
      </c>
      <c r="C12">
        <f t="shared" si="0"/>
        <v>9024.7729999999992</v>
      </c>
    </row>
    <row r="13" spans="1:3">
      <c r="A13" t="s">
        <v>12</v>
      </c>
      <c r="B13">
        <v>4980487</v>
      </c>
      <c r="C13">
        <f t="shared" si="0"/>
        <v>4980.4870000000001</v>
      </c>
    </row>
    <row r="14" spans="1:3">
      <c r="A14" t="s">
        <v>13</v>
      </c>
      <c r="B14">
        <v>81249645</v>
      </c>
      <c r="C14">
        <f t="shared" si="0"/>
        <v>81249.645000000004</v>
      </c>
    </row>
    <row r="15" spans="1:3">
      <c r="A15" t="s">
        <v>14</v>
      </c>
      <c r="B15">
        <v>4162558</v>
      </c>
      <c r="C15">
        <f t="shared" si="0"/>
        <v>4162.558</v>
      </c>
    </row>
    <row r="16" spans="1:3">
      <c r="A16" t="s">
        <v>15</v>
      </c>
      <c r="B16">
        <v>2455583</v>
      </c>
      <c r="C16">
        <f t="shared" si="0"/>
        <v>2455.5830000000001</v>
      </c>
    </row>
    <row r="17" spans="1:3">
      <c r="A17" t="s">
        <v>16</v>
      </c>
      <c r="B17">
        <v>4059194</v>
      </c>
      <c r="C17">
        <f t="shared" si="0"/>
        <v>4059.194</v>
      </c>
    </row>
    <row r="18" spans="1:3">
      <c r="A18" t="s">
        <v>17</v>
      </c>
      <c r="B18">
        <v>22014771</v>
      </c>
      <c r="C18">
        <f t="shared" si="0"/>
        <v>22014.771000000001</v>
      </c>
    </row>
    <row r="19" spans="1:3">
      <c r="A19" t="s">
        <v>18</v>
      </c>
      <c r="B19">
        <v>248709873</v>
      </c>
      <c r="C19">
        <f t="shared" si="0"/>
        <v>248709.87299999999</v>
      </c>
    </row>
    <row r="20" spans="1:3">
      <c r="A20" t="s">
        <v>19</v>
      </c>
      <c r="B20">
        <v>3117012</v>
      </c>
      <c r="C20">
        <f t="shared" si="0"/>
        <v>3117.0120000000002</v>
      </c>
    </row>
    <row r="21" spans="1:3">
      <c r="A21" t="s">
        <v>20</v>
      </c>
      <c r="B21">
        <v>19750579</v>
      </c>
      <c r="C21">
        <f t="shared" si="0"/>
        <v>19750.579000000002</v>
      </c>
    </row>
    <row r="22" spans="1:3">
      <c r="A22" t="s">
        <v>46</v>
      </c>
      <c r="B22">
        <f>SUM(B3:B21)</f>
        <v>681218128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B72C-0B9E-4AB3-8B07-FC39CF3B4EB4}">
  <dimension ref="A1:C22"/>
  <sheetViews>
    <sheetView topLeftCell="A7" workbookViewId="0">
      <selection activeCell="B22" sqref="B22"/>
    </sheetView>
  </sheetViews>
  <sheetFormatPr defaultRowHeight="14.5"/>
  <cols>
    <col min="2" max="2" width="14.81640625" customWidth="1"/>
    <col min="3" max="3" width="18" customWidth="1"/>
  </cols>
  <sheetData>
    <row r="1" spans="1:3">
      <c r="A1" s="7">
        <v>2000</v>
      </c>
      <c r="B1" s="7"/>
      <c r="C1" s="7"/>
    </row>
    <row r="2" spans="1:3">
      <c r="A2" s="3" t="s">
        <v>22</v>
      </c>
      <c r="B2" s="2" t="s">
        <v>23</v>
      </c>
      <c r="C2" s="2" t="s">
        <v>26</v>
      </c>
    </row>
    <row r="3" spans="1:3">
      <c r="A3" s="4" t="s">
        <v>2</v>
      </c>
      <c r="B3">
        <v>37213983</v>
      </c>
      <c r="C3">
        <f>B3/1000</f>
        <v>37213.983</v>
      </c>
    </row>
    <row r="4" spans="1:3">
      <c r="A4" s="4" t="s">
        <v>3</v>
      </c>
      <c r="B4">
        <v>8606325</v>
      </c>
      <c r="C4">
        <f t="shared" ref="C4:C21" si="0">B4/1000</f>
        <v>8606.3250000000007</v>
      </c>
    </row>
    <row r="5" spans="1:3">
      <c r="A5" s="4" t="s">
        <v>4</v>
      </c>
      <c r="B5">
        <v>174018281</v>
      </c>
      <c r="C5">
        <f t="shared" si="0"/>
        <v>174018.28099999999</v>
      </c>
    </row>
    <row r="6" spans="1:3">
      <c r="A6" s="4" t="s">
        <v>5</v>
      </c>
      <c r="B6">
        <v>30891802</v>
      </c>
      <c r="C6">
        <f t="shared" si="0"/>
        <v>30891.802</v>
      </c>
    </row>
    <row r="7" spans="1:3">
      <c r="A7" s="4" t="s">
        <v>6</v>
      </c>
      <c r="B7">
        <v>15503634</v>
      </c>
      <c r="C7">
        <f t="shared" si="0"/>
        <v>15503.634</v>
      </c>
    </row>
    <row r="8" spans="1:3">
      <c r="A8" s="4" t="s">
        <v>7</v>
      </c>
      <c r="B8">
        <v>39089934</v>
      </c>
      <c r="C8">
        <f t="shared" si="0"/>
        <v>39089.934000000001</v>
      </c>
    </row>
    <row r="9" spans="1:3">
      <c r="A9" s="4" t="s">
        <v>8</v>
      </c>
      <c r="B9">
        <v>3937738</v>
      </c>
      <c r="C9">
        <f t="shared" si="0"/>
        <v>3937.7379999999998</v>
      </c>
    </row>
    <row r="10" spans="1:3">
      <c r="A10" s="4" t="s">
        <v>9</v>
      </c>
      <c r="B10">
        <v>12689205</v>
      </c>
      <c r="C10">
        <f t="shared" si="0"/>
        <v>12689.205</v>
      </c>
    </row>
    <row r="11" spans="1:3">
      <c r="A11" s="4" t="s">
        <v>10</v>
      </c>
      <c r="B11">
        <v>5943365</v>
      </c>
      <c r="C11">
        <f t="shared" si="0"/>
        <v>5943.3649999999998</v>
      </c>
    </row>
    <row r="12" spans="1:3">
      <c r="A12" s="4" t="s">
        <v>11</v>
      </c>
      <c r="B12">
        <v>11697592</v>
      </c>
      <c r="C12">
        <f t="shared" si="0"/>
        <v>11697.592000000001</v>
      </c>
    </row>
    <row r="13" spans="1:3">
      <c r="A13" s="4" t="s">
        <v>12</v>
      </c>
      <c r="B13">
        <v>6485000</v>
      </c>
      <c r="C13">
        <f t="shared" si="0"/>
        <v>6485</v>
      </c>
    </row>
    <row r="14" spans="1:3">
      <c r="A14" s="4" t="s">
        <v>13</v>
      </c>
      <c r="B14">
        <v>97483412</v>
      </c>
      <c r="C14">
        <f t="shared" si="0"/>
        <v>97483.411999999997</v>
      </c>
    </row>
    <row r="15" spans="1:3">
      <c r="A15" s="4" t="s">
        <v>14</v>
      </c>
      <c r="B15">
        <v>5074000</v>
      </c>
      <c r="C15">
        <f t="shared" si="0"/>
        <v>5074</v>
      </c>
    </row>
    <row r="16" spans="1:3">
      <c r="A16" s="4" t="s">
        <v>15</v>
      </c>
      <c r="B16">
        <v>2839177</v>
      </c>
      <c r="C16">
        <f t="shared" si="0"/>
        <v>2839.1770000000001</v>
      </c>
    </row>
    <row r="17" spans="1:3">
      <c r="A17" s="4" t="s">
        <v>16</v>
      </c>
      <c r="B17">
        <v>5496000</v>
      </c>
      <c r="C17">
        <f t="shared" si="0"/>
        <v>5496</v>
      </c>
    </row>
    <row r="18" spans="1:3">
      <c r="A18" s="4" t="s">
        <v>17</v>
      </c>
      <c r="B18">
        <v>25662000</v>
      </c>
      <c r="C18">
        <f t="shared" si="0"/>
        <v>25662</v>
      </c>
    </row>
    <row r="19" spans="1:3">
      <c r="A19" s="4" t="s">
        <v>18</v>
      </c>
      <c r="B19">
        <v>281421906</v>
      </c>
      <c r="C19">
        <f t="shared" si="0"/>
        <v>281421.90600000002</v>
      </c>
    </row>
    <row r="20" spans="1:3">
      <c r="A20" s="4" t="s">
        <v>19</v>
      </c>
      <c r="B20">
        <v>3337000</v>
      </c>
      <c r="C20">
        <f t="shared" si="0"/>
        <v>3337</v>
      </c>
    </row>
    <row r="21" spans="1:3">
      <c r="A21" s="5" t="s">
        <v>20</v>
      </c>
      <c r="B21">
        <v>23232553</v>
      </c>
      <c r="C21">
        <f t="shared" si="0"/>
        <v>23232.553</v>
      </c>
    </row>
    <row r="22" spans="1:3">
      <c r="A22" t="s">
        <v>46</v>
      </c>
      <c r="B22">
        <f>SUM(B3:B21)</f>
        <v>790622907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83DB-475A-4758-8640-BE7245037729}">
  <dimension ref="A1:C22"/>
  <sheetViews>
    <sheetView topLeftCell="A7" workbookViewId="0">
      <selection activeCell="A22" sqref="A22:B22"/>
    </sheetView>
  </sheetViews>
  <sheetFormatPr defaultRowHeight="14.5"/>
  <cols>
    <col min="2" max="2" width="14.1796875" customWidth="1"/>
    <col min="3" max="3" width="19" customWidth="1"/>
  </cols>
  <sheetData>
    <row r="1" spans="1:3">
      <c r="A1" s="7">
        <v>2010</v>
      </c>
      <c r="B1" s="7"/>
      <c r="C1" s="7"/>
    </row>
    <row r="2" spans="1:3">
      <c r="A2" s="2" t="s">
        <v>22</v>
      </c>
      <c r="B2" s="2" t="s">
        <v>23</v>
      </c>
      <c r="C2" s="2" t="s">
        <v>25</v>
      </c>
    </row>
    <row r="3" spans="1:3">
      <c r="A3" t="s">
        <v>2</v>
      </c>
      <c r="B3">
        <v>40117096</v>
      </c>
      <c r="C3">
        <f>B3/1000</f>
        <v>40117.095999999998</v>
      </c>
    </row>
    <row r="4" spans="1:3">
      <c r="A4" t="s">
        <v>3</v>
      </c>
      <c r="B4">
        <v>10182345</v>
      </c>
      <c r="C4">
        <f t="shared" ref="C4:C21" si="0">B4/1000</f>
        <v>10182.344999999999</v>
      </c>
    </row>
    <row r="5" spans="1:3">
      <c r="A5" t="s">
        <v>4</v>
      </c>
      <c r="B5">
        <v>190755799</v>
      </c>
      <c r="C5">
        <f t="shared" si="0"/>
        <v>190755.799</v>
      </c>
    </row>
    <row r="6" spans="1:3">
      <c r="A6" t="s">
        <v>5</v>
      </c>
      <c r="B6">
        <v>34196898</v>
      </c>
      <c r="C6">
        <f t="shared" si="0"/>
        <v>34196.898000000001</v>
      </c>
    </row>
    <row r="7" spans="1:3">
      <c r="A7" t="s">
        <v>6</v>
      </c>
      <c r="B7">
        <v>17181464</v>
      </c>
      <c r="C7">
        <f t="shared" si="0"/>
        <v>17181.464</v>
      </c>
    </row>
    <row r="8" spans="1:3">
      <c r="A8" t="s">
        <v>7</v>
      </c>
      <c r="B8">
        <v>44777318</v>
      </c>
      <c r="C8">
        <f t="shared" si="0"/>
        <v>44777.317999999999</v>
      </c>
    </row>
    <row r="9" spans="1:3">
      <c r="A9" t="s">
        <v>8</v>
      </c>
      <c r="B9">
        <v>4555961</v>
      </c>
      <c r="C9">
        <f t="shared" si="0"/>
        <v>4555.9610000000002</v>
      </c>
    </row>
    <row r="10" spans="1:3">
      <c r="A10" t="s">
        <v>9</v>
      </c>
      <c r="B10">
        <v>15076694</v>
      </c>
      <c r="C10">
        <f t="shared" si="0"/>
        <v>15076.694</v>
      </c>
    </row>
    <row r="11" spans="1:3">
      <c r="A11" t="s">
        <v>10</v>
      </c>
      <c r="B11">
        <v>6068249</v>
      </c>
      <c r="C11">
        <f t="shared" si="0"/>
        <v>6068.2489999999998</v>
      </c>
    </row>
    <row r="12" spans="1:3">
      <c r="A12" t="s">
        <v>11</v>
      </c>
      <c r="B12">
        <v>14500112</v>
      </c>
      <c r="C12">
        <f t="shared" si="0"/>
        <v>14500.111999999999</v>
      </c>
    </row>
    <row r="13" spans="1:3">
      <c r="A13" t="s">
        <v>12</v>
      </c>
      <c r="B13">
        <v>8045990</v>
      </c>
      <c r="C13">
        <f t="shared" si="0"/>
        <v>8045.99</v>
      </c>
    </row>
    <row r="14" spans="1:3">
      <c r="A14" t="s">
        <v>13</v>
      </c>
      <c r="B14">
        <v>112336538</v>
      </c>
      <c r="C14">
        <f t="shared" si="0"/>
        <v>112336.538</v>
      </c>
    </row>
    <row r="15" spans="1:3">
      <c r="A15" t="s">
        <v>14</v>
      </c>
      <c r="B15">
        <v>5822000</v>
      </c>
      <c r="C15">
        <f t="shared" si="0"/>
        <v>5822</v>
      </c>
    </row>
    <row r="16" spans="1:3">
      <c r="A16" t="s">
        <v>15</v>
      </c>
      <c r="B16">
        <v>3405813</v>
      </c>
      <c r="C16">
        <f t="shared" si="0"/>
        <v>3405.8130000000001</v>
      </c>
    </row>
    <row r="17" spans="1:3">
      <c r="A17" t="s">
        <v>16</v>
      </c>
      <c r="B17">
        <v>6349000</v>
      </c>
      <c r="C17">
        <f t="shared" si="0"/>
        <v>6349</v>
      </c>
    </row>
    <row r="18" spans="1:3">
      <c r="A18" t="s">
        <v>17</v>
      </c>
      <c r="B18">
        <v>29076512</v>
      </c>
      <c r="C18">
        <f t="shared" si="0"/>
        <v>29076.511999999999</v>
      </c>
    </row>
    <row r="19" spans="1:3">
      <c r="A19" t="s">
        <v>18</v>
      </c>
      <c r="B19">
        <v>309349689</v>
      </c>
      <c r="C19">
        <f t="shared" si="0"/>
        <v>309349.68900000001</v>
      </c>
    </row>
    <row r="20" spans="1:3">
      <c r="A20" t="s">
        <v>19</v>
      </c>
      <c r="B20">
        <v>3356584</v>
      </c>
      <c r="C20">
        <f t="shared" si="0"/>
        <v>3356.5839999999998</v>
      </c>
    </row>
    <row r="21" spans="1:3">
      <c r="A21" t="s">
        <v>20</v>
      </c>
      <c r="B21">
        <v>28833845</v>
      </c>
      <c r="C21">
        <f t="shared" si="0"/>
        <v>28833.845000000001</v>
      </c>
    </row>
    <row r="22" spans="1:3">
      <c r="A22" t="s">
        <v>46</v>
      </c>
      <c r="B22">
        <f>SUM(B3:B21)</f>
        <v>883987907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9859-54E5-44F4-8582-64576292FE42}">
  <dimension ref="A1:C22"/>
  <sheetViews>
    <sheetView topLeftCell="A7" workbookViewId="0">
      <selection activeCell="B22" sqref="B22"/>
    </sheetView>
  </sheetViews>
  <sheetFormatPr defaultRowHeight="14.5"/>
  <cols>
    <col min="1" max="1" width="11.81640625" customWidth="1"/>
    <col min="2" max="2" width="14.36328125" customWidth="1"/>
    <col min="3" max="3" width="22.6328125" customWidth="1"/>
  </cols>
  <sheetData>
    <row r="1" spans="1:3">
      <c r="A1" s="7">
        <v>2020</v>
      </c>
      <c r="B1" s="7"/>
      <c r="C1" s="7"/>
    </row>
    <row r="2" spans="1:3">
      <c r="A2" s="2" t="s">
        <v>22</v>
      </c>
      <c r="B2" s="2" t="s">
        <v>23</v>
      </c>
      <c r="C2" t="s">
        <v>24</v>
      </c>
    </row>
    <row r="3" spans="1:3">
      <c r="A3" t="s">
        <v>2</v>
      </c>
      <c r="B3">
        <v>45376760</v>
      </c>
      <c r="C3">
        <f>B3/1000</f>
        <v>45376.76</v>
      </c>
    </row>
    <row r="4" spans="1:3">
      <c r="A4" t="s">
        <v>3</v>
      </c>
      <c r="B4">
        <v>11816299</v>
      </c>
      <c r="C4">
        <f t="shared" ref="C4:C21" si="0">B4/1000</f>
        <v>11816.299000000001</v>
      </c>
    </row>
    <row r="5" spans="1:3">
      <c r="A5" t="s">
        <v>4</v>
      </c>
      <c r="B5">
        <v>211800000</v>
      </c>
      <c r="C5">
        <f t="shared" si="0"/>
        <v>211800</v>
      </c>
    </row>
    <row r="6" spans="1:3">
      <c r="A6" t="s">
        <v>5</v>
      </c>
      <c r="B6">
        <v>38005238</v>
      </c>
      <c r="C6">
        <f t="shared" si="0"/>
        <v>38005.237999999998</v>
      </c>
    </row>
    <row r="7" spans="1:3">
      <c r="A7" t="s">
        <v>6</v>
      </c>
      <c r="B7">
        <v>19370624</v>
      </c>
      <c r="C7">
        <f t="shared" si="0"/>
        <v>19370.624</v>
      </c>
    </row>
    <row r="8" spans="1:3">
      <c r="A8" t="s">
        <v>7</v>
      </c>
      <c r="B8">
        <v>50629997</v>
      </c>
      <c r="C8">
        <f t="shared" si="0"/>
        <v>50629.997000000003</v>
      </c>
    </row>
    <row r="9" spans="1:3">
      <c r="A9" t="s">
        <v>8</v>
      </c>
      <c r="B9">
        <v>5034319</v>
      </c>
      <c r="C9">
        <f t="shared" si="0"/>
        <v>5034.3190000000004</v>
      </c>
    </row>
    <row r="10" spans="1:3">
      <c r="A10" t="s">
        <v>9</v>
      </c>
      <c r="B10">
        <v>17546064</v>
      </c>
      <c r="C10">
        <f t="shared" si="0"/>
        <v>17546.063999999998</v>
      </c>
    </row>
    <row r="11" spans="1:3">
      <c r="A11" t="s">
        <v>10</v>
      </c>
      <c r="B11">
        <v>6234673</v>
      </c>
      <c r="C11">
        <f t="shared" si="0"/>
        <v>6234.6729999999998</v>
      </c>
    </row>
    <row r="12" spans="1:3">
      <c r="A12" t="s">
        <v>11</v>
      </c>
      <c r="B12">
        <v>17357325</v>
      </c>
      <c r="C12">
        <f t="shared" si="0"/>
        <v>17357.325000000001</v>
      </c>
    </row>
    <row r="13" spans="1:3">
      <c r="A13" t="s">
        <v>12</v>
      </c>
      <c r="B13">
        <v>9904607</v>
      </c>
      <c r="C13">
        <f t="shared" si="0"/>
        <v>9904.607</v>
      </c>
    </row>
    <row r="14" spans="1:3">
      <c r="A14" t="s">
        <v>13</v>
      </c>
      <c r="B14">
        <v>128932753</v>
      </c>
      <c r="C14">
        <f t="shared" si="0"/>
        <v>128932.753</v>
      </c>
    </row>
    <row r="15" spans="1:3">
      <c r="A15" t="s">
        <v>14</v>
      </c>
      <c r="B15">
        <v>6624554</v>
      </c>
      <c r="C15">
        <f t="shared" si="0"/>
        <v>6624.5540000000001</v>
      </c>
    </row>
    <row r="16" spans="1:3">
      <c r="A16" t="s">
        <v>15</v>
      </c>
      <c r="B16">
        <v>4314767</v>
      </c>
      <c r="C16">
        <f t="shared" si="0"/>
        <v>4314.7669999999998</v>
      </c>
    </row>
    <row r="17" spans="1:3">
      <c r="A17" t="s">
        <v>16</v>
      </c>
      <c r="B17">
        <v>7132538</v>
      </c>
      <c r="C17">
        <f t="shared" si="0"/>
        <v>7132.5379999999996</v>
      </c>
    </row>
    <row r="18" spans="1:3">
      <c r="A18" t="s">
        <v>17</v>
      </c>
      <c r="B18">
        <v>32971854</v>
      </c>
      <c r="C18">
        <f t="shared" si="0"/>
        <v>32971.853999999999</v>
      </c>
    </row>
    <row r="19" spans="1:3">
      <c r="A19" t="s">
        <v>18</v>
      </c>
      <c r="B19">
        <v>331002651</v>
      </c>
      <c r="C19">
        <f t="shared" si="0"/>
        <v>331002.65100000001</v>
      </c>
    </row>
    <row r="20" spans="1:3">
      <c r="A20" t="s">
        <v>19</v>
      </c>
      <c r="B20">
        <v>3473730</v>
      </c>
      <c r="C20">
        <f t="shared" si="0"/>
        <v>3473.73</v>
      </c>
    </row>
    <row r="21" spans="1:3">
      <c r="A21" t="s">
        <v>20</v>
      </c>
      <c r="B21">
        <v>28435940</v>
      </c>
      <c r="C21">
        <f t="shared" si="0"/>
        <v>28435.94</v>
      </c>
    </row>
    <row r="22" spans="1:3">
      <c r="A22" t="s">
        <v>46</v>
      </c>
      <c r="B22">
        <f>SUM(B3:B21)</f>
        <v>975964693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NetData</vt:lpstr>
      <vt:lpstr>Net_Per1000</vt:lpstr>
      <vt:lpstr>CountryPop90</vt:lpstr>
      <vt:lpstr>CountryPop00</vt:lpstr>
      <vt:lpstr>CountryPop10</vt:lpstr>
      <vt:lpstr>CountryPop20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2024-12-09T19:26:45Z</dcterms:created>
  <dcterms:modified xsi:type="dcterms:W3CDTF">2024-12-09T21:02:09Z</dcterms:modified>
</cp:coreProperties>
</file>