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iddleburycollege-my.sharepoint.com/personal/jhebljr_middlebury_edu/Documents/MIIS_Fall 2024/Intro Network Analysis/Final Project/Country Immigration Data Excels/"/>
    </mc:Choice>
  </mc:AlternateContent>
  <xr:revisionPtr revIDLastSave="153" documentId="8_{6D715360-1805-4FEA-BF23-9EC6928F2DC4}" xr6:coauthVersionLast="47" xr6:coauthVersionMax="47" xr10:uidLastSave="{1713F596-A97F-4291-A068-C0A21B7995B5}"/>
  <bookViews>
    <workbookView xWindow="9510" yWindow="0" windowWidth="9780" windowHeight="10170" firstSheet="4" activeTab="6" xr2:uid="{C37F8420-EB37-4AE9-85B6-8A10A7F5283E}"/>
  </bookViews>
  <sheets>
    <sheet name="Differences Matrix" sheetId="8" r:id="rId1"/>
    <sheet name="Immigration" sheetId="1" r:id="rId2"/>
    <sheet name="Net" sheetId="2" r:id="rId3"/>
    <sheet name="Net_PositivesOnly" sheetId="4" r:id="rId4"/>
    <sheet name="Per_1000" sheetId="9" r:id="rId5"/>
    <sheet name="Country_Pop" sheetId="10" r:id="rId6"/>
    <sheet name="Net_binary_10,000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" i="4" l="1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3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C22" i="4"/>
  <c r="D3" i="9" l="1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3" i="9"/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" i="10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C3" i="3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C3" i="4"/>
</calcChain>
</file>

<file path=xl/sharedStrings.xml><?xml version="1.0" encoding="utf-8"?>
<sst xmlns="http://schemas.openxmlformats.org/spreadsheetml/2006/main" count="228" uniqueCount="27">
  <si>
    <t>Argentina</t>
  </si>
  <si>
    <t>Bolivia</t>
  </si>
  <si>
    <t>Brazil</t>
  </si>
  <si>
    <t>Canada</t>
  </si>
  <si>
    <t>Chile</t>
  </si>
  <si>
    <t>Colombia</t>
  </si>
  <si>
    <t>Costa Rica</t>
  </si>
  <si>
    <t>Ecuador</t>
  </si>
  <si>
    <t>El Salvador</t>
  </si>
  <si>
    <t>Guatemala</t>
  </si>
  <si>
    <t>Honduras</t>
  </si>
  <si>
    <t>Mexico</t>
  </si>
  <si>
    <t>Nicaragua</t>
  </si>
  <si>
    <t>Panama</t>
  </si>
  <si>
    <t>Paraguay</t>
  </si>
  <si>
    <t>Peru</t>
  </si>
  <si>
    <t>United States</t>
  </si>
  <si>
    <t>Uruguay</t>
  </si>
  <si>
    <t>Venezuela</t>
  </si>
  <si>
    <t>-</t>
  </si>
  <si>
    <t>Country of Destination (i.e. Receiving Country)</t>
  </si>
  <si>
    <t>Country of Origin (i.e. Sending Country</t>
  </si>
  <si>
    <t>Country</t>
  </si>
  <si>
    <t>Population</t>
  </si>
  <si>
    <t>Per 1000</t>
  </si>
  <si>
    <t>Net In</t>
  </si>
  <si>
    <t>Net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</si>
</sst>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name val="Cambria"/>
      <family val="1"/>
      <scheme val="major"/>
    </font>
    <font>
      <sz val="8.5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1" fillId="4" borderId="1" xfId="0" applyFont="1" applyFill="1" applyBorder="1" applyAlignment="1">
      <alignment horizontal="center" vertical="top"/>
    </xf>
    <xf numFmtId="0" fontId="1" fillId="5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2" fontId="4" fillId="0" borderId="0" xfId="0" applyNumberFormat="1" applyFont="1" applyAlignment="1">
      <alignment horizontal="center" vertical="center"/>
    </xf>
    <xf numFmtId="2" fontId="6" fillId="0" borderId="0" xfId="0" applyNumberFormat="1" applyFont="1"/>
    <xf numFmtId="2" fontId="5" fillId="0" borderId="0" xfId="0" applyNumberFormat="1" applyFont="1" applyAlignment="1">
      <alignment horizontal="center" vertical="center"/>
    </xf>
    <xf numFmtId="2" fontId="0" fillId="0" borderId="0" xfId="0" applyNumberFormat="1"/>
    <xf numFmtId="0" fontId="1" fillId="0" borderId="0" xfId="0" applyFont="1"/>
    <xf numFmtId="0" fontId="1" fillId="4" borderId="4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D37CF-85E9-439D-B71F-7D1CA8E1AF11}">
  <sheetPr codeName="Sheet8"/>
  <dimension ref="A1:T20"/>
  <sheetViews>
    <sheetView zoomScale="55" zoomScaleNormal="55" workbookViewId="0">
      <selection activeCell="C15" sqref="C15"/>
    </sheetView>
  </sheetViews>
  <sheetFormatPr defaultRowHeight="14.5" x14ac:dyDescent="0.35"/>
  <sheetData>
    <row r="1" spans="1:20" x14ac:dyDescent="0.35">
      <c r="B1">
        <v>0</v>
      </c>
      <c r="C1">
        <v>21923</v>
      </c>
      <c r="D1">
        <v>28350</v>
      </c>
      <c r="E1">
        <v>10660</v>
      </c>
      <c r="F1">
        <v>32696</v>
      </c>
      <c r="G1">
        <v>2359</v>
      </c>
      <c r="H1">
        <v>1041</v>
      </c>
      <c r="I1">
        <v>1669</v>
      </c>
      <c r="J1">
        <v>255</v>
      </c>
      <c r="K1">
        <v>285</v>
      </c>
      <c r="L1">
        <v>145</v>
      </c>
      <c r="M1">
        <v>4340</v>
      </c>
      <c r="N1">
        <v>185</v>
      </c>
      <c r="O1">
        <v>580</v>
      </c>
      <c r="P1">
        <v>50447</v>
      </c>
      <c r="Q1">
        <v>7080</v>
      </c>
      <c r="R1">
        <v>92563</v>
      </c>
      <c r="S1">
        <v>14559</v>
      </c>
      <c r="T1">
        <v>9483</v>
      </c>
    </row>
    <row r="2" spans="1:20" x14ac:dyDescent="0.35">
      <c r="A2">
        <v>0</v>
      </c>
      <c r="B2">
        <v>0</v>
      </c>
      <c r="C2">
        <v>-125311</v>
      </c>
      <c r="D2">
        <v>-6009</v>
      </c>
      <c r="E2">
        <v>9864</v>
      </c>
      <c r="F2">
        <v>-190832</v>
      </c>
      <c r="G2">
        <v>-343</v>
      </c>
      <c r="H2">
        <v>579</v>
      </c>
      <c r="I2">
        <v>670</v>
      </c>
      <c r="J2">
        <v>73</v>
      </c>
      <c r="K2">
        <v>169</v>
      </c>
      <c r="L2">
        <v>4</v>
      </c>
      <c r="M2">
        <v>2008</v>
      </c>
      <c r="N2">
        <v>40</v>
      </c>
      <c r="O2">
        <v>204</v>
      </c>
      <c r="P2">
        <v>-206796</v>
      </c>
      <c r="Q2">
        <v>-9286</v>
      </c>
      <c r="R2">
        <v>82571</v>
      </c>
      <c r="S2">
        <v>-122347</v>
      </c>
      <c r="T2">
        <v>7502</v>
      </c>
    </row>
    <row r="3" spans="1:20" x14ac:dyDescent="0.35">
      <c r="A3">
        <v>21923</v>
      </c>
      <c r="B3">
        <v>125311</v>
      </c>
      <c r="C3">
        <v>0</v>
      </c>
      <c r="D3">
        <v>5438</v>
      </c>
      <c r="E3">
        <v>-220</v>
      </c>
      <c r="F3">
        <v>2470</v>
      </c>
      <c r="G3">
        <v>-17</v>
      </c>
      <c r="H3">
        <v>167</v>
      </c>
      <c r="I3">
        <v>210</v>
      </c>
      <c r="J3">
        <v>16</v>
      </c>
      <c r="K3">
        <v>-79</v>
      </c>
      <c r="L3">
        <v>-120</v>
      </c>
      <c r="M3">
        <v>-6606</v>
      </c>
      <c r="N3">
        <v>-19</v>
      </c>
      <c r="O3">
        <v>121</v>
      </c>
      <c r="P3">
        <v>-364</v>
      </c>
      <c r="Q3">
        <v>-3569</v>
      </c>
      <c r="R3">
        <v>28225</v>
      </c>
      <c r="S3">
        <v>10179</v>
      </c>
      <c r="T3">
        <v>1855</v>
      </c>
    </row>
    <row r="4" spans="1:20" x14ac:dyDescent="0.35">
      <c r="A4">
        <v>28350</v>
      </c>
      <c r="B4">
        <v>6009</v>
      </c>
      <c r="C4">
        <v>-5438</v>
      </c>
      <c r="D4">
        <v>0</v>
      </c>
      <c r="E4">
        <v>6058</v>
      </c>
      <c r="F4">
        <v>-17911</v>
      </c>
      <c r="G4">
        <v>-495</v>
      </c>
      <c r="H4">
        <v>-42</v>
      </c>
      <c r="I4">
        <v>354</v>
      </c>
      <c r="J4">
        <v>-76</v>
      </c>
      <c r="K4">
        <v>24</v>
      </c>
      <c r="L4">
        <v>-101</v>
      </c>
      <c r="M4">
        <v>890</v>
      </c>
      <c r="N4">
        <v>-191</v>
      </c>
      <c r="O4">
        <v>-341</v>
      </c>
      <c r="P4">
        <v>89961</v>
      </c>
      <c r="Q4">
        <v>-2686</v>
      </c>
      <c r="R4">
        <v>70683</v>
      </c>
      <c r="S4">
        <v>-22936</v>
      </c>
      <c r="T4">
        <v>3103</v>
      </c>
    </row>
    <row r="5" spans="1:20" x14ac:dyDescent="0.35">
      <c r="A5">
        <v>10660</v>
      </c>
      <c r="B5">
        <v>-9864</v>
      </c>
      <c r="C5">
        <v>220</v>
      </c>
      <c r="D5">
        <v>-6058</v>
      </c>
      <c r="E5">
        <v>0</v>
      </c>
      <c r="F5">
        <v>-21945</v>
      </c>
      <c r="G5">
        <v>-6865</v>
      </c>
      <c r="H5">
        <v>-437</v>
      </c>
      <c r="I5">
        <v>-6879</v>
      </c>
      <c r="J5">
        <v>-26637</v>
      </c>
      <c r="K5">
        <v>-8287</v>
      </c>
      <c r="L5">
        <v>-1938</v>
      </c>
      <c r="M5">
        <v>-15510</v>
      </c>
      <c r="N5">
        <v>-6014</v>
      </c>
      <c r="O5">
        <v>-978</v>
      </c>
      <c r="P5">
        <v>-3284</v>
      </c>
      <c r="Q5">
        <v>-10248</v>
      </c>
      <c r="R5">
        <v>505832</v>
      </c>
      <c r="S5">
        <v>-3872</v>
      </c>
      <c r="T5">
        <v>-2358</v>
      </c>
    </row>
    <row r="6" spans="1:20" x14ac:dyDescent="0.35">
      <c r="A6">
        <v>32696</v>
      </c>
      <c r="B6">
        <v>190832</v>
      </c>
      <c r="C6">
        <v>-2470</v>
      </c>
      <c r="D6">
        <v>17911</v>
      </c>
      <c r="E6">
        <v>21945</v>
      </c>
      <c r="F6">
        <v>0</v>
      </c>
      <c r="G6">
        <v>305</v>
      </c>
      <c r="H6">
        <v>1490</v>
      </c>
      <c r="I6">
        <v>3139</v>
      </c>
      <c r="J6">
        <v>380</v>
      </c>
      <c r="K6">
        <v>271</v>
      </c>
      <c r="L6">
        <v>273</v>
      </c>
      <c r="M6">
        <v>2037</v>
      </c>
      <c r="N6">
        <v>144</v>
      </c>
      <c r="O6">
        <v>998</v>
      </c>
      <c r="P6">
        <v>1819</v>
      </c>
      <c r="Q6">
        <v>-2573</v>
      </c>
      <c r="R6">
        <v>50031</v>
      </c>
      <c r="S6">
        <v>-1393</v>
      </c>
      <c r="T6">
        <v>19849</v>
      </c>
    </row>
    <row r="7" spans="1:20" x14ac:dyDescent="0.35">
      <c r="A7">
        <v>2359</v>
      </c>
      <c r="B7">
        <v>343</v>
      </c>
      <c r="C7">
        <v>17</v>
      </c>
      <c r="D7">
        <v>495</v>
      </c>
      <c r="E7">
        <v>6865</v>
      </c>
      <c r="F7">
        <v>-305</v>
      </c>
      <c r="G7">
        <v>0</v>
      </c>
      <c r="H7">
        <v>3681</v>
      </c>
      <c r="I7">
        <v>28368</v>
      </c>
      <c r="J7">
        <v>89</v>
      </c>
      <c r="K7">
        <v>226</v>
      </c>
      <c r="L7">
        <v>144</v>
      </c>
      <c r="M7">
        <v>2752</v>
      </c>
      <c r="N7">
        <v>298</v>
      </c>
      <c r="O7">
        <v>11895</v>
      </c>
      <c r="P7">
        <v>0</v>
      </c>
      <c r="Q7">
        <v>806</v>
      </c>
      <c r="R7">
        <v>272646</v>
      </c>
      <c r="S7">
        <v>-360</v>
      </c>
      <c r="T7">
        <v>522455</v>
      </c>
    </row>
    <row r="8" spans="1:20" x14ac:dyDescent="0.35">
      <c r="A8">
        <v>1041</v>
      </c>
      <c r="B8">
        <v>-579</v>
      </c>
      <c r="C8">
        <v>-167</v>
      </c>
      <c r="D8">
        <v>42</v>
      </c>
      <c r="E8">
        <v>437</v>
      </c>
      <c r="F8">
        <v>-1490</v>
      </c>
      <c r="G8">
        <v>-3681</v>
      </c>
      <c r="H8">
        <v>0</v>
      </c>
      <c r="I8">
        <v>-423</v>
      </c>
      <c r="J8">
        <v>-54699</v>
      </c>
      <c r="K8">
        <v>-1219</v>
      </c>
      <c r="L8">
        <v>-2014</v>
      </c>
      <c r="M8">
        <v>7</v>
      </c>
      <c r="N8">
        <v>-93194</v>
      </c>
      <c r="O8">
        <v>-4773</v>
      </c>
      <c r="P8">
        <v>-58</v>
      </c>
      <c r="Q8">
        <v>-2016</v>
      </c>
      <c r="R8">
        <v>34944</v>
      </c>
      <c r="S8">
        <v>-252</v>
      </c>
      <c r="T8">
        <v>631</v>
      </c>
    </row>
    <row r="9" spans="1:20" x14ac:dyDescent="0.35">
      <c r="A9">
        <v>1669</v>
      </c>
      <c r="B9">
        <v>-670</v>
      </c>
      <c r="C9">
        <v>-210</v>
      </c>
      <c r="D9">
        <v>-354</v>
      </c>
      <c r="E9">
        <v>6879</v>
      </c>
      <c r="F9">
        <v>-3139</v>
      </c>
      <c r="G9">
        <v>-28368</v>
      </c>
      <c r="H9">
        <v>423</v>
      </c>
      <c r="I9">
        <v>0</v>
      </c>
      <c r="J9">
        <v>-19</v>
      </c>
      <c r="K9">
        <v>-24</v>
      </c>
      <c r="L9">
        <v>191</v>
      </c>
      <c r="M9">
        <v>63</v>
      </c>
      <c r="N9">
        <v>-33</v>
      </c>
      <c r="O9">
        <v>1093</v>
      </c>
      <c r="P9">
        <v>-81</v>
      </c>
      <c r="Q9">
        <v>-79</v>
      </c>
      <c r="R9">
        <v>134719</v>
      </c>
      <c r="S9">
        <v>-320</v>
      </c>
      <c r="T9">
        <v>22051</v>
      </c>
    </row>
    <row r="10" spans="1:20" x14ac:dyDescent="0.35">
      <c r="A10">
        <v>255</v>
      </c>
      <c r="B10">
        <v>-73</v>
      </c>
      <c r="C10">
        <v>-16</v>
      </c>
      <c r="D10">
        <v>76</v>
      </c>
      <c r="E10">
        <v>26637</v>
      </c>
      <c r="F10">
        <v>-380</v>
      </c>
      <c r="G10">
        <v>-89</v>
      </c>
      <c r="H10">
        <v>54699</v>
      </c>
      <c r="I10">
        <v>19</v>
      </c>
      <c r="J10">
        <v>0</v>
      </c>
      <c r="K10">
        <v>228420</v>
      </c>
      <c r="L10">
        <v>99036</v>
      </c>
      <c r="M10">
        <v>298649</v>
      </c>
      <c r="N10">
        <v>8550</v>
      </c>
      <c r="O10">
        <v>1839</v>
      </c>
      <c r="P10">
        <v>-36</v>
      </c>
      <c r="Q10">
        <v>-180</v>
      </c>
      <c r="R10">
        <v>457400</v>
      </c>
      <c r="S10">
        <v>-120</v>
      </c>
      <c r="T10">
        <v>759</v>
      </c>
    </row>
    <row r="11" spans="1:20" x14ac:dyDescent="0.35">
      <c r="A11">
        <v>285</v>
      </c>
      <c r="B11">
        <v>-169</v>
      </c>
      <c r="C11">
        <v>79</v>
      </c>
      <c r="D11">
        <v>-24</v>
      </c>
      <c r="E11">
        <v>8287</v>
      </c>
      <c r="F11">
        <v>-271</v>
      </c>
      <c r="G11">
        <v>-226</v>
      </c>
      <c r="H11">
        <v>1219</v>
      </c>
      <c r="I11">
        <v>24</v>
      </c>
      <c r="J11">
        <v>-228420</v>
      </c>
      <c r="K11">
        <v>0</v>
      </c>
      <c r="L11">
        <v>-1518</v>
      </c>
      <c r="M11">
        <v>66941</v>
      </c>
      <c r="N11">
        <v>-2592</v>
      </c>
      <c r="O11">
        <v>134</v>
      </c>
      <c r="P11">
        <v>-72</v>
      </c>
      <c r="Q11">
        <v>-110</v>
      </c>
      <c r="R11">
        <v>219917</v>
      </c>
      <c r="S11">
        <v>-95</v>
      </c>
      <c r="T11">
        <v>466</v>
      </c>
    </row>
    <row r="12" spans="1:20" x14ac:dyDescent="0.35">
      <c r="A12">
        <v>145</v>
      </c>
      <c r="B12">
        <v>-4</v>
      </c>
      <c r="C12">
        <v>120</v>
      </c>
      <c r="D12">
        <v>101</v>
      </c>
      <c r="E12">
        <v>1938</v>
      </c>
      <c r="F12">
        <v>-273</v>
      </c>
      <c r="G12">
        <v>-144</v>
      </c>
      <c r="H12">
        <v>2014</v>
      </c>
      <c r="I12">
        <v>-191</v>
      </c>
      <c r="J12">
        <v>-99036</v>
      </c>
      <c r="K12">
        <v>1518</v>
      </c>
      <c r="L12">
        <v>0</v>
      </c>
      <c r="M12">
        <v>1195</v>
      </c>
      <c r="N12">
        <v>-132697</v>
      </c>
      <c r="O12">
        <v>448</v>
      </c>
      <c r="P12">
        <v>-27</v>
      </c>
      <c r="Q12">
        <v>-189</v>
      </c>
      <c r="R12">
        <v>106231</v>
      </c>
      <c r="S12">
        <v>-51</v>
      </c>
      <c r="T12">
        <v>362</v>
      </c>
    </row>
    <row r="13" spans="1:20" x14ac:dyDescent="0.35">
      <c r="A13">
        <v>4340</v>
      </c>
      <c r="B13">
        <v>-2008</v>
      </c>
      <c r="C13">
        <v>6606</v>
      </c>
      <c r="D13">
        <v>-890</v>
      </c>
      <c r="E13">
        <v>15510</v>
      </c>
      <c r="F13">
        <v>-2037</v>
      </c>
      <c r="G13">
        <v>-2752</v>
      </c>
      <c r="H13">
        <v>-7</v>
      </c>
      <c r="I13">
        <v>-63</v>
      </c>
      <c r="J13">
        <v>-298649</v>
      </c>
      <c r="K13">
        <v>-66941</v>
      </c>
      <c r="L13">
        <v>-1195</v>
      </c>
      <c r="M13">
        <v>0</v>
      </c>
      <c r="N13">
        <v>-2171</v>
      </c>
      <c r="O13">
        <v>-24248</v>
      </c>
      <c r="P13">
        <v>2769</v>
      </c>
      <c r="Q13">
        <v>-2051</v>
      </c>
      <c r="R13">
        <v>4099784</v>
      </c>
      <c r="S13">
        <v>-394</v>
      </c>
      <c r="T13">
        <v>1426</v>
      </c>
    </row>
    <row r="14" spans="1:20" x14ac:dyDescent="0.35">
      <c r="A14">
        <v>185</v>
      </c>
      <c r="B14">
        <v>-40</v>
      </c>
      <c r="C14">
        <v>19</v>
      </c>
      <c r="D14">
        <v>191</v>
      </c>
      <c r="E14">
        <v>6014</v>
      </c>
      <c r="F14">
        <v>-144</v>
      </c>
      <c r="G14">
        <v>-298</v>
      </c>
      <c r="H14">
        <v>93194</v>
      </c>
      <c r="I14">
        <v>33</v>
      </c>
      <c r="J14">
        <v>-8550</v>
      </c>
      <c r="K14">
        <v>2592</v>
      </c>
      <c r="L14">
        <v>132697</v>
      </c>
      <c r="M14">
        <v>2171</v>
      </c>
      <c r="N14">
        <v>0</v>
      </c>
      <c r="O14">
        <v>4111</v>
      </c>
      <c r="P14">
        <v>0</v>
      </c>
      <c r="Q14">
        <v>-122</v>
      </c>
      <c r="R14">
        <v>164938</v>
      </c>
      <c r="S14">
        <v>-11</v>
      </c>
      <c r="T14">
        <v>2380</v>
      </c>
    </row>
    <row r="15" spans="1:20" x14ac:dyDescent="0.35">
      <c r="A15">
        <v>580</v>
      </c>
      <c r="B15">
        <v>-204</v>
      </c>
      <c r="C15">
        <v>-121</v>
      </c>
      <c r="D15">
        <v>341</v>
      </c>
      <c r="E15">
        <v>978</v>
      </c>
      <c r="F15">
        <v>-998</v>
      </c>
      <c r="G15">
        <v>-11895</v>
      </c>
      <c r="H15">
        <v>4773</v>
      </c>
      <c r="I15">
        <v>-1093</v>
      </c>
      <c r="J15">
        <v>-1839</v>
      </c>
      <c r="K15">
        <v>-134</v>
      </c>
      <c r="L15">
        <v>-448</v>
      </c>
      <c r="M15">
        <v>24248</v>
      </c>
      <c r="N15">
        <v>-4111</v>
      </c>
      <c r="O15">
        <v>0</v>
      </c>
      <c r="P15">
        <v>-38</v>
      </c>
      <c r="Q15">
        <v>-1567</v>
      </c>
      <c r="R15">
        <v>82419</v>
      </c>
      <c r="S15">
        <v>-147</v>
      </c>
      <c r="T15">
        <v>983</v>
      </c>
    </row>
    <row r="16" spans="1:20" x14ac:dyDescent="0.35">
      <c r="A16">
        <v>50447</v>
      </c>
      <c r="B16">
        <v>206796</v>
      </c>
      <c r="C16">
        <v>364</v>
      </c>
      <c r="D16">
        <v>-89961</v>
      </c>
      <c r="E16">
        <v>3284</v>
      </c>
      <c r="F16">
        <v>-1819</v>
      </c>
      <c r="G16">
        <v>0</v>
      </c>
      <c r="H16">
        <v>58</v>
      </c>
      <c r="I16">
        <v>81</v>
      </c>
      <c r="J16">
        <v>36</v>
      </c>
      <c r="K16">
        <v>72</v>
      </c>
      <c r="L16">
        <v>27</v>
      </c>
      <c r="M16">
        <v>-2769</v>
      </c>
      <c r="N16">
        <v>0</v>
      </c>
      <c r="O16">
        <v>38</v>
      </c>
      <c r="P16">
        <v>0</v>
      </c>
      <c r="Q16">
        <v>339</v>
      </c>
      <c r="R16">
        <v>4475</v>
      </c>
      <c r="S16">
        <v>-2052</v>
      </c>
      <c r="T16">
        <v>359</v>
      </c>
    </row>
    <row r="17" spans="1:20" x14ac:dyDescent="0.35">
      <c r="A17">
        <v>7080</v>
      </c>
      <c r="B17">
        <v>9286</v>
      </c>
      <c r="C17">
        <v>3569</v>
      </c>
      <c r="D17">
        <v>2686</v>
      </c>
      <c r="E17">
        <v>10248</v>
      </c>
      <c r="F17">
        <v>2573</v>
      </c>
      <c r="G17">
        <v>-806</v>
      </c>
      <c r="H17">
        <v>2016</v>
      </c>
      <c r="I17">
        <v>79</v>
      </c>
      <c r="J17">
        <v>180</v>
      </c>
      <c r="K17">
        <v>110</v>
      </c>
      <c r="L17">
        <v>189</v>
      </c>
      <c r="M17">
        <v>2051</v>
      </c>
      <c r="N17">
        <v>122</v>
      </c>
      <c r="O17">
        <v>1567</v>
      </c>
      <c r="P17">
        <v>-339</v>
      </c>
      <c r="Q17">
        <v>0</v>
      </c>
      <c r="R17">
        <v>138053</v>
      </c>
      <c r="S17">
        <v>166</v>
      </c>
      <c r="T17">
        <v>27616</v>
      </c>
    </row>
    <row r="18" spans="1:20" x14ac:dyDescent="0.35">
      <c r="A18">
        <v>92563</v>
      </c>
      <c r="B18">
        <v>-82571</v>
      </c>
      <c r="C18">
        <v>-28225</v>
      </c>
      <c r="D18">
        <v>-70683</v>
      </c>
      <c r="E18">
        <v>-505832</v>
      </c>
      <c r="F18">
        <v>-50031</v>
      </c>
      <c r="G18">
        <v>-272646</v>
      </c>
      <c r="H18">
        <v>-34944</v>
      </c>
      <c r="I18">
        <v>-134719</v>
      </c>
      <c r="J18">
        <v>-457400</v>
      </c>
      <c r="K18">
        <v>-219917</v>
      </c>
      <c r="L18">
        <v>-106231</v>
      </c>
      <c r="M18">
        <v>-4099784</v>
      </c>
      <c r="N18">
        <v>-164938</v>
      </c>
      <c r="O18">
        <v>-82419</v>
      </c>
      <c r="P18">
        <v>-4475</v>
      </c>
      <c r="Q18">
        <v>-138053</v>
      </c>
      <c r="R18">
        <v>0</v>
      </c>
      <c r="S18">
        <v>-19241</v>
      </c>
      <c r="T18">
        <v>-30480</v>
      </c>
    </row>
    <row r="19" spans="1:20" x14ac:dyDescent="0.35">
      <c r="A19">
        <v>14559</v>
      </c>
      <c r="B19">
        <v>122347</v>
      </c>
      <c r="C19">
        <v>-10179</v>
      </c>
      <c r="D19">
        <v>22936</v>
      </c>
      <c r="E19">
        <v>3872</v>
      </c>
      <c r="F19">
        <v>1393</v>
      </c>
      <c r="G19">
        <v>360</v>
      </c>
      <c r="H19">
        <v>252</v>
      </c>
      <c r="I19">
        <v>320</v>
      </c>
      <c r="J19">
        <v>120</v>
      </c>
      <c r="K19">
        <v>95</v>
      </c>
      <c r="L19">
        <v>51</v>
      </c>
      <c r="M19">
        <v>394</v>
      </c>
      <c r="N19">
        <v>11</v>
      </c>
      <c r="O19">
        <v>147</v>
      </c>
      <c r="P19">
        <v>2052</v>
      </c>
      <c r="Q19">
        <v>-166</v>
      </c>
      <c r="R19">
        <v>19241</v>
      </c>
      <c r="S19">
        <v>0</v>
      </c>
      <c r="T19">
        <v>5303</v>
      </c>
    </row>
    <row r="20" spans="1:20" x14ac:dyDescent="0.35">
      <c r="A20">
        <v>9483</v>
      </c>
      <c r="B20">
        <v>-7502</v>
      </c>
      <c r="C20">
        <v>-1855</v>
      </c>
      <c r="D20">
        <v>-3103</v>
      </c>
      <c r="E20">
        <v>2358</v>
      </c>
      <c r="F20">
        <v>-19849</v>
      </c>
      <c r="G20">
        <v>-522455</v>
      </c>
      <c r="H20">
        <v>-631</v>
      </c>
      <c r="I20">
        <v>-22051</v>
      </c>
      <c r="J20">
        <v>-759</v>
      </c>
      <c r="K20">
        <v>-466</v>
      </c>
      <c r="L20">
        <v>-362</v>
      </c>
      <c r="M20">
        <v>-1426</v>
      </c>
      <c r="N20">
        <v>-2380</v>
      </c>
      <c r="O20">
        <v>-983</v>
      </c>
      <c r="P20">
        <v>-359</v>
      </c>
      <c r="Q20">
        <v>-27616</v>
      </c>
      <c r="R20">
        <v>30480</v>
      </c>
      <c r="S20">
        <v>-5303</v>
      </c>
      <c r="T2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3"/>
  <sheetViews>
    <sheetView zoomScaleNormal="100" workbookViewId="0">
      <pane xSplit="1" topLeftCell="H1" activePane="topRight" state="frozen"/>
      <selection activeCell="A14" sqref="A14"/>
      <selection pane="topRight" activeCell="A14" sqref="A14:XFD14"/>
    </sheetView>
  </sheetViews>
  <sheetFormatPr defaultColWidth="10.7265625" defaultRowHeight="14.5" x14ac:dyDescent="0.35"/>
  <cols>
    <col min="1" max="1" width="15.453125" customWidth="1"/>
    <col min="2" max="2" width="10.81640625" bestFit="1" customWidth="1"/>
    <col min="3" max="3" width="9.54296875" customWidth="1"/>
    <col min="4" max="17" width="10.81640625" bestFit="1" customWidth="1"/>
    <col min="18" max="18" width="11.54296875" bestFit="1" customWidth="1"/>
    <col min="19" max="20" width="10.81640625" bestFit="1" customWidth="1"/>
  </cols>
  <sheetData>
    <row r="1" spans="1:20" s="1" customFormat="1" ht="29" x14ac:dyDescent="0.35">
      <c r="A1" s="6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</row>
    <row r="2" spans="1:20" x14ac:dyDescent="0.35">
      <c r="A2" s="2" t="s">
        <v>0</v>
      </c>
      <c r="B2" s="8">
        <v>0</v>
      </c>
      <c r="C2" s="9">
        <v>21923</v>
      </c>
      <c r="D2" s="9">
        <v>28350</v>
      </c>
      <c r="E2" s="9">
        <v>10660</v>
      </c>
      <c r="F2" s="9">
        <v>32696</v>
      </c>
      <c r="G2" s="9">
        <v>2359</v>
      </c>
      <c r="H2" s="9">
        <v>1041</v>
      </c>
      <c r="I2" s="9">
        <v>1669</v>
      </c>
      <c r="J2" s="9">
        <v>255</v>
      </c>
      <c r="K2" s="9">
        <v>285</v>
      </c>
      <c r="L2" s="9">
        <v>145</v>
      </c>
      <c r="M2" s="9">
        <v>4340</v>
      </c>
      <c r="N2" s="9">
        <v>185</v>
      </c>
      <c r="O2" s="9">
        <v>580</v>
      </c>
      <c r="P2" s="9">
        <v>50447</v>
      </c>
      <c r="Q2" s="9">
        <v>7080</v>
      </c>
      <c r="R2" s="9">
        <v>92563</v>
      </c>
      <c r="S2" s="9">
        <v>14559</v>
      </c>
      <c r="T2" s="9">
        <v>9483</v>
      </c>
    </row>
    <row r="3" spans="1:20" x14ac:dyDescent="0.35">
      <c r="A3" s="2" t="s">
        <v>1</v>
      </c>
      <c r="B3" s="9">
        <v>147234</v>
      </c>
      <c r="C3" s="9">
        <v>0</v>
      </c>
      <c r="D3" s="9">
        <v>15996</v>
      </c>
      <c r="E3" s="9">
        <v>1545</v>
      </c>
      <c r="F3" s="9">
        <v>7277</v>
      </c>
      <c r="G3" s="9">
        <v>634</v>
      </c>
      <c r="H3" s="9">
        <v>269</v>
      </c>
      <c r="I3" s="9">
        <v>509</v>
      </c>
      <c r="J3" s="9">
        <v>73</v>
      </c>
      <c r="K3" s="9">
        <v>67</v>
      </c>
      <c r="L3" s="9">
        <v>112</v>
      </c>
      <c r="M3" s="9">
        <v>1519</v>
      </c>
      <c r="N3" s="9">
        <v>47</v>
      </c>
      <c r="O3" s="9">
        <v>213</v>
      </c>
      <c r="P3" s="9">
        <v>809</v>
      </c>
      <c r="Q3" s="9">
        <v>3569</v>
      </c>
      <c r="R3" s="9">
        <v>31303</v>
      </c>
      <c r="S3" s="9">
        <v>10581</v>
      </c>
      <c r="T3" s="9">
        <v>2224</v>
      </c>
    </row>
    <row r="4" spans="1:20" x14ac:dyDescent="0.35">
      <c r="A4" s="2" t="s">
        <v>2</v>
      </c>
      <c r="B4" s="9">
        <v>34359</v>
      </c>
      <c r="C4" s="9">
        <v>10558</v>
      </c>
      <c r="D4" s="9">
        <v>0</v>
      </c>
      <c r="E4" s="9">
        <v>7028</v>
      </c>
      <c r="F4" s="9">
        <v>4332</v>
      </c>
      <c r="G4" s="9">
        <v>1728</v>
      </c>
      <c r="H4" s="9">
        <v>346</v>
      </c>
      <c r="I4" s="9">
        <v>968</v>
      </c>
      <c r="J4" s="9">
        <v>329</v>
      </c>
      <c r="K4" s="9">
        <v>77</v>
      </c>
      <c r="L4" s="9">
        <v>179</v>
      </c>
      <c r="M4" s="9">
        <v>1682</v>
      </c>
      <c r="N4" s="9">
        <v>138</v>
      </c>
      <c r="O4" s="9">
        <v>633</v>
      </c>
      <c r="P4" s="9">
        <v>111355</v>
      </c>
      <c r="Q4" s="9">
        <v>3030</v>
      </c>
      <c r="R4" s="9">
        <v>82489</v>
      </c>
      <c r="S4" s="9">
        <v>427</v>
      </c>
      <c r="T4" s="9">
        <v>4323</v>
      </c>
    </row>
    <row r="5" spans="1:20" x14ac:dyDescent="0.35">
      <c r="A5" s="2" t="s">
        <v>3</v>
      </c>
      <c r="B5" s="9">
        <v>796</v>
      </c>
      <c r="C5" s="9">
        <v>1765</v>
      </c>
      <c r="D5" s="9">
        <v>970</v>
      </c>
      <c r="E5" s="9">
        <v>0</v>
      </c>
      <c r="F5" s="9">
        <v>0</v>
      </c>
      <c r="G5" s="9">
        <v>682</v>
      </c>
      <c r="H5" s="9">
        <v>810</v>
      </c>
      <c r="I5" s="9">
        <v>806</v>
      </c>
      <c r="J5" s="9">
        <v>508</v>
      </c>
      <c r="K5" s="9">
        <v>272</v>
      </c>
      <c r="L5" s="9">
        <v>264</v>
      </c>
      <c r="M5" s="9">
        <v>3100</v>
      </c>
      <c r="N5" s="9">
        <v>185</v>
      </c>
      <c r="O5" s="9">
        <v>140</v>
      </c>
      <c r="P5" s="9">
        <v>1418</v>
      </c>
      <c r="Q5" s="9">
        <v>762</v>
      </c>
      <c r="R5" s="9">
        <v>744830</v>
      </c>
      <c r="S5" s="9">
        <v>1161</v>
      </c>
      <c r="T5" s="9">
        <v>981</v>
      </c>
    </row>
    <row r="6" spans="1:20" x14ac:dyDescent="0.35">
      <c r="A6" s="2" t="s">
        <v>4</v>
      </c>
      <c r="B6" s="9">
        <v>223528</v>
      </c>
      <c r="C6" s="9">
        <v>4807</v>
      </c>
      <c r="D6" s="9">
        <v>22243</v>
      </c>
      <c r="E6" s="9">
        <v>21945</v>
      </c>
      <c r="F6" s="9">
        <v>0</v>
      </c>
      <c r="G6" s="9">
        <v>1859</v>
      </c>
      <c r="H6" s="9">
        <v>1490</v>
      </c>
      <c r="I6" s="9">
        <v>5302</v>
      </c>
      <c r="J6" s="9">
        <v>380</v>
      </c>
      <c r="K6" s="9">
        <v>271</v>
      </c>
      <c r="L6" s="9">
        <v>273</v>
      </c>
      <c r="M6" s="9">
        <v>2783</v>
      </c>
      <c r="N6" s="9">
        <v>144</v>
      </c>
      <c r="O6" s="9">
        <v>998</v>
      </c>
      <c r="P6" s="9">
        <v>2460</v>
      </c>
      <c r="Q6" s="9">
        <v>4479</v>
      </c>
      <c r="R6" s="9">
        <v>55681</v>
      </c>
      <c r="S6" s="9">
        <v>0</v>
      </c>
      <c r="T6" s="9">
        <v>22198</v>
      </c>
    </row>
    <row r="7" spans="1:20" x14ac:dyDescent="0.35">
      <c r="A7" s="2" t="s">
        <v>5</v>
      </c>
      <c r="B7" s="9">
        <v>2702</v>
      </c>
      <c r="C7" s="9">
        <v>651</v>
      </c>
      <c r="D7" s="9">
        <v>2223</v>
      </c>
      <c r="E7" s="9">
        <v>7547</v>
      </c>
      <c r="F7" s="9">
        <v>1554</v>
      </c>
      <c r="G7" s="9">
        <v>0</v>
      </c>
      <c r="H7" s="9">
        <v>4372</v>
      </c>
      <c r="I7" s="9">
        <v>40238</v>
      </c>
      <c r="J7" s="9">
        <v>386</v>
      </c>
      <c r="K7" s="9">
        <v>490</v>
      </c>
      <c r="L7" s="9">
        <v>409</v>
      </c>
      <c r="M7" s="9">
        <v>4660</v>
      </c>
      <c r="N7" s="9">
        <v>298</v>
      </c>
      <c r="O7" s="9">
        <v>13968</v>
      </c>
      <c r="P7" s="9">
        <v>0</v>
      </c>
      <c r="Q7" s="9">
        <v>3702</v>
      </c>
      <c r="R7" s="9">
        <v>286124</v>
      </c>
      <c r="S7" s="9">
        <v>0</v>
      </c>
      <c r="T7" s="9">
        <v>555578</v>
      </c>
    </row>
    <row r="8" spans="1:20" x14ac:dyDescent="0.35">
      <c r="A8" s="2" t="s">
        <v>6</v>
      </c>
      <c r="B8" s="9">
        <v>462</v>
      </c>
      <c r="C8" s="9">
        <v>102</v>
      </c>
      <c r="D8" s="9">
        <v>388</v>
      </c>
      <c r="E8" s="9">
        <v>1247</v>
      </c>
      <c r="F8" s="9">
        <v>0</v>
      </c>
      <c r="G8" s="9">
        <v>691</v>
      </c>
      <c r="H8" s="9">
        <v>0</v>
      </c>
      <c r="I8" s="9">
        <v>313</v>
      </c>
      <c r="J8" s="9">
        <v>1558</v>
      </c>
      <c r="K8" s="9">
        <v>758</v>
      </c>
      <c r="L8" s="9">
        <v>594</v>
      </c>
      <c r="M8" s="9">
        <v>2088</v>
      </c>
      <c r="N8" s="9">
        <v>5959</v>
      </c>
      <c r="O8" s="9">
        <v>3919</v>
      </c>
      <c r="P8" s="9">
        <v>0</v>
      </c>
      <c r="Q8" s="9">
        <v>209</v>
      </c>
      <c r="R8" s="9">
        <v>43530</v>
      </c>
      <c r="S8" s="9">
        <v>0</v>
      </c>
      <c r="T8" s="9">
        <v>1661</v>
      </c>
    </row>
    <row r="9" spans="1:20" x14ac:dyDescent="0.35">
      <c r="A9" s="2" t="s">
        <v>7</v>
      </c>
      <c r="B9" s="9">
        <v>999</v>
      </c>
      <c r="C9" s="9">
        <v>299</v>
      </c>
      <c r="D9" s="9">
        <v>614</v>
      </c>
      <c r="E9" s="9">
        <v>7685</v>
      </c>
      <c r="F9" s="9">
        <v>2163</v>
      </c>
      <c r="G9" s="9">
        <v>11870</v>
      </c>
      <c r="H9" s="9">
        <v>736</v>
      </c>
      <c r="I9" s="9">
        <v>0</v>
      </c>
      <c r="J9" s="9">
        <v>155</v>
      </c>
      <c r="K9" s="9">
        <v>120</v>
      </c>
      <c r="L9" s="9">
        <v>348</v>
      </c>
      <c r="M9" s="9">
        <v>719</v>
      </c>
      <c r="N9" s="9">
        <v>98</v>
      </c>
      <c r="O9" s="9">
        <v>1414</v>
      </c>
      <c r="P9" s="9">
        <v>0</v>
      </c>
      <c r="Q9" s="9">
        <v>2488</v>
      </c>
      <c r="R9" s="9">
        <v>143314</v>
      </c>
      <c r="S9" s="9">
        <v>0</v>
      </c>
      <c r="T9" s="9">
        <v>24600</v>
      </c>
    </row>
    <row r="10" spans="1:20" x14ac:dyDescent="0.35">
      <c r="A10" s="2" t="s">
        <v>8</v>
      </c>
      <c r="B10" s="9">
        <v>182</v>
      </c>
      <c r="C10" s="9">
        <v>57</v>
      </c>
      <c r="D10" s="9">
        <v>405</v>
      </c>
      <c r="E10" s="9">
        <v>27145</v>
      </c>
      <c r="F10" s="9">
        <v>0</v>
      </c>
      <c r="G10" s="9">
        <v>297</v>
      </c>
      <c r="H10" s="9">
        <v>56257</v>
      </c>
      <c r="I10" s="9">
        <v>174</v>
      </c>
      <c r="J10" s="9">
        <v>0</v>
      </c>
      <c r="K10" s="9">
        <v>236655</v>
      </c>
      <c r="L10" s="9">
        <v>114810</v>
      </c>
      <c r="M10" s="9">
        <v>301106</v>
      </c>
      <c r="N10" s="9">
        <v>12443</v>
      </c>
      <c r="O10" s="9">
        <v>2396</v>
      </c>
      <c r="P10" s="9">
        <v>0</v>
      </c>
      <c r="Q10" s="9">
        <v>66</v>
      </c>
      <c r="R10" s="9">
        <v>465433</v>
      </c>
      <c r="S10" s="9">
        <v>0</v>
      </c>
      <c r="T10" s="9">
        <v>1017</v>
      </c>
    </row>
    <row r="11" spans="1:20" x14ac:dyDescent="0.35">
      <c r="A11" s="2" t="s">
        <v>9</v>
      </c>
      <c r="B11" s="9">
        <v>116</v>
      </c>
      <c r="C11" s="9">
        <v>146</v>
      </c>
      <c r="D11" s="9">
        <v>53</v>
      </c>
      <c r="E11" s="9">
        <v>8559</v>
      </c>
      <c r="F11" s="9">
        <v>0</v>
      </c>
      <c r="G11" s="9">
        <v>264</v>
      </c>
      <c r="H11" s="9">
        <v>1977</v>
      </c>
      <c r="I11" s="9">
        <v>144</v>
      </c>
      <c r="J11" s="9">
        <v>8235</v>
      </c>
      <c r="K11" s="9">
        <v>0</v>
      </c>
      <c r="L11" s="9">
        <v>3250</v>
      </c>
      <c r="M11" s="9">
        <v>72343</v>
      </c>
      <c r="N11" s="9">
        <v>1134</v>
      </c>
      <c r="O11" s="9">
        <v>376</v>
      </c>
      <c r="P11" s="9">
        <v>0</v>
      </c>
      <c r="Q11" s="9">
        <v>100</v>
      </c>
      <c r="R11" s="9">
        <v>225739</v>
      </c>
      <c r="S11" s="9">
        <v>0</v>
      </c>
      <c r="T11" s="9">
        <v>579</v>
      </c>
    </row>
    <row r="12" spans="1:20" x14ac:dyDescent="0.35">
      <c r="A12" s="2" t="s">
        <v>10</v>
      </c>
      <c r="B12" s="9">
        <v>141</v>
      </c>
      <c r="C12" s="9">
        <v>232</v>
      </c>
      <c r="D12" s="9">
        <v>280</v>
      </c>
      <c r="E12" s="9">
        <v>2202</v>
      </c>
      <c r="F12" s="9">
        <v>0</v>
      </c>
      <c r="G12" s="9">
        <v>265</v>
      </c>
      <c r="H12" s="9">
        <v>2608</v>
      </c>
      <c r="I12" s="9">
        <v>157</v>
      </c>
      <c r="J12" s="9">
        <v>15774</v>
      </c>
      <c r="K12" s="9">
        <v>4768</v>
      </c>
      <c r="L12" s="9">
        <v>0</v>
      </c>
      <c r="M12" s="9">
        <v>1990</v>
      </c>
      <c r="N12" s="9">
        <v>10105</v>
      </c>
      <c r="O12" s="9">
        <v>638</v>
      </c>
      <c r="P12" s="9">
        <v>0</v>
      </c>
      <c r="Q12" s="9">
        <v>102</v>
      </c>
      <c r="R12" s="9">
        <v>108923</v>
      </c>
      <c r="S12" s="9">
        <v>0</v>
      </c>
      <c r="T12" s="9">
        <v>437</v>
      </c>
    </row>
    <row r="13" spans="1:20" x14ac:dyDescent="0.35">
      <c r="A13" s="2" t="s">
        <v>11</v>
      </c>
      <c r="B13" s="9">
        <v>2332</v>
      </c>
      <c r="C13" s="9">
        <v>8125</v>
      </c>
      <c r="D13" s="9">
        <v>792</v>
      </c>
      <c r="E13" s="9">
        <v>18610</v>
      </c>
      <c r="F13" s="9">
        <v>746</v>
      </c>
      <c r="G13" s="9">
        <v>1908</v>
      </c>
      <c r="H13" s="9">
        <v>2081</v>
      </c>
      <c r="I13" s="9">
        <v>656</v>
      </c>
      <c r="J13" s="9">
        <v>2457</v>
      </c>
      <c r="K13" s="9">
        <v>5402</v>
      </c>
      <c r="L13" s="9">
        <v>795</v>
      </c>
      <c r="M13" s="9">
        <v>0</v>
      </c>
      <c r="N13" s="9">
        <v>925</v>
      </c>
      <c r="O13" s="9">
        <v>1393</v>
      </c>
      <c r="P13" s="9">
        <v>3059</v>
      </c>
      <c r="Q13" s="9">
        <v>930</v>
      </c>
      <c r="R13" s="9">
        <v>4298014</v>
      </c>
      <c r="S13" s="9">
        <v>719</v>
      </c>
      <c r="T13" s="9">
        <v>2886</v>
      </c>
    </row>
    <row r="14" spans="1:20" x14ac:dyDescent="0.35">
      <c r="A14" s="2" t="s">
        <v>12</v>
      </c>
      <c r="B14" s="9">
        <v>145</v>
      </c>
      <c r="C14" s="9">
        <v>66</v>
      </c>
      <c r="D14" s="9">
        <v>329</v>
      </c>
      <c r="E14" s="9">
        <v>6199</v>
      </c>
      <c r="F14" s="9">
        <v>0</v>
      </c>
      <c r="G14" s="9">
        <v>0</v>
      </c>
      <c r="H14" s="9">
        <v>99153</v>
      </c>
      <c r="I14" s="9">
        <v>131</v>
      </c>
      <c r="J14" s="9">
        <v>3893</v>
      </c>
      <c r="K14" s="9">
        <v>3726</v>
      </c>
      <c r="L14" s="9">
        <v>142802</v>
      </c>
      <c r="M14" s="9">
        <v>3096</v>
      </c>
      <c r="N14" s="9">
        <v>0</v>
      </c>
      <c r="O14" s="9">
        <v>4553</v>
      </c>
      <c r="P14" s="9">
        <v>0</v>
      </c>
      <c r="Q14" s="9">
        <v>99</v>
      </c>
      <c r="R14" s="9">
        <v>168659</v>
      </c>
      <c r="S14" s="9">
        <v>0</v>
      </c>
      <c r="T14" s="9">
        <v>2526</v>
      </c>
    </row>
    <row r="15" spans="1:20" x14ac:dyDescent="0.35">
      <c r="A15" s="2" t="s">
        <v>13</v>
      </c>
      <c r="B15" s="9">
        <v>376</v>
      </c>
      <c r="C15" s="9">
        <v>92</v>
      </c>
      <c r="D15" s="9">
        <v>974</v>
      </c>
      <c r="E15" s="9">
        <v>1118</v>
      </c>
      <c r="F15" s="9">
        <v>0</v>
      </c>
      <c r="G15" s="9">
        <v>2073</v>
      </c>
      <c r="H15" s="9">
        <v>8692</v>
      </c>
      <c r="I15" s="9">
        <v>321</v>
      </c>
      <c r="J15" s="9">
        <v>557</v>
      </c>
      <c r="K15" s="9">
        <v>242</v>
      </c>
      <c r="L15" s="9">
        <v>190</v>
      </c>
      <c r="M15" s="9">
        <v>25641</v>
      </c>
      <c r="N15" s="9">
        <v>442</v>
      </c>
      <c r="O15" s="9">
        <v>0</v>
      </c>
      <c r="P15" s="9">
        <v>0</v>
      </c>
      <c r="Q15" s="9">
        <v>214</v>
      </c>
      <c r="R15" s="9">
        <v>85737</v>
      </c>
      <c r="S15" s="9">
        <v>0</v>
      </c>
      <c r="T15" s="9">
        <v>1470</v>
      </c>
    </row>
    <row r="16" spans="1:20" x14ac:dyDescent="0.35">
      <c r="A16" s="2" t="s">
        <v>14</v>
      </c>
      <c r="B16" s="9">
        <v>257243</v>
      </c>
      <c r="C16" s="9">
        <v>1173</v>
      </c>
      <c r="D16" s="9">
        <v>21394</v>
      </c>
      <c r="E16" s="9">
        <v>4702</v>
      </c>
      <c r="F16" s="9">
        <v>641</v>
      </c>
      <c r="G16" s="9">
        <v>0</v>
      </c>
      <c r="H16" s="9">
        <v>58</v>
      </c>
      <c r="I16" s="9">
        <v>81</v>
      </c>
      <c r="J16" s="9">
        <v>36</v>
      </c>
      <c r="K16" s="9">
        <v>72</v>
      </c>
      <c r="L16" s="9">
        <v>27</v>
      </c>
      <c r="M16" s="9">
        <v>290</v>
      </c>
      <c r="N16" s="9">
        <v>0</v>
      </c>
      <c r="O16" s="9">
        <v>38</v>
      </c>
      <c r="P16" s="9">
        <v>0</v>
      </c>
      <c r="Q16" s="9">
        <v>339</v>
      </c>
      <c r="R16" s="9">
        <v>6057</v>
      </c>
      <c r="S16" s="9">
        <v>1241</v>
      </c>
      <c r="T16" s="9">
        <v>359</v>
      </c>
    </row>
    <row r="17" spans="1:20" x14ac:dyDescent="0.35">
      <c r="A17" s="2" t="s">
        <v>15</v>
      </c>
      <c r="B17" s="9">
        <v>16366</v>
      </c>
      <c r="C17" s="9">
        <v>7138</v>
      </c>
      <c r="D17" s="9">
        <v>5716</v>
      </c>
      <c r="E17" s="9">
        <v>11010</v>
      </c>
      <c r="F17" s="9">
        <v>7052</v>
      </c>
      <c r="G17" s="9">
        <v>2896</v>
      </c>
      <c r="H17" s="9">
        <v>2225</v>
      </c>
      <c r="I17" s="9">
        <v>2567</v>
      </c>
      <c r="J17" s="9">
        <v>246</v>
      </c>
      <c r="K17" s="9">
        <v>210</v>
      </c>
      <c r="L17" s="9">
        <v>291</v>
      </c>
      <c r="M17" s="9">
        <v>2981</v>
      </c>
      <c r="N17" s="9">
        <v>221</v>
      </c>
      <c r="O17" s="9">
        <v>1781</v>
      </c>
      <c r="P17" s="9">
        <v>0</v>
      </c>
      <c r="Q17" s="9">
        <v>0</v>
      </c>
      <c r="R17" s="9">
        <v>144199</v>
      </c>
      <c r="S17" s="9">
        <v>555</v>
      </c>
      <c r="T17" s="9">
        <v>29635</v>
      </c>
    </row>
    <row r="18" spans="1:20" x14ac:dyDescent="0.35">
      <c r="A18" s="2" t="s">
        <v>16</v>
      </c>
      <c r="B18" s="9">
        <v>9992</v>
      </c>
      <c r="C18" s="9">
        <v>3078</v>
      </c>
      <c r="D18" s="9">
        <v>11806</v>
      </c>
      <c r="E18" s="9">
        <v>238998</v>
      </c>
      <c r="F18" s="9">
        <v>5650</v>
      </c>
      <c r="G18" s="9">
        <v>13478</v>
      </c>
      <c r="H18" s="9">
        <v>8586</v>
      </c>
      <c r="I18" s="9">
        <v>8595</v>
      </c>
      <c r="J18" s="9">
        <v>8033</v>
      </c>
      <c r="K18" s="9">
        <v>5822</v>
      </c>
      <c r="L18" s="9">
        <v>2692</v>
      </c>
      <c r="M18" s="9">
        <v>198230</v>
      </c>
      <c r="N18" s="9">
        <v>3721</v>
      </c>
      <c r="O18" s="9">
        <v>3318</v>
      </c>
      <c r="P18" s="9">
        <v>1582</v>
      </c>
      <c r="Q18" s="9">
        <v>6146</v>
      </c>
      <c r="R18" s="9">
        <v>0</v>
      </c>
      <c r="S18" s="9">
        <v>1525</v>
      </c>
      <c r="T18" s="9">
        <v>11639</v>
      </c>
    </row>
    <row r="19" spans="1:20" x14ac:dyDescent="0.35">
      <c r="A19" s="2" t="s">
        <v>17</v>
      </c>
      <c r="B19" s="9">
        <v>136906</v>
      </c>
      <c r="C19" s="9">
        <v>402</v>
      </c>
      <c r="D19" s="9">
        <v>23363</v>
      </c>
      <c r="E19" s="9">
        <v>5033</v>
      </c>
      <c r="F19" s="9">
        <v>1393</v>
      </c>
      <c r="G19" s="9">
        <v>360</v>
      </c>
      <c r="H19" s="9">
        <v>252</v>
      </c>
      <c r="I19" s="9">
        <v>320</v>
      </c>
      <c r="J19" s="9">
        <v>120</v>
      </c>
      <c r="K19" s="9">
        <v>95</v>
      </c>
      <c r="L19" s="9">
        <v>51</v>
      </c>
      <c r="M19" s="9">
        <v>1113</v>
      </c>
      <c r="N19" s="9">
        <v>11</v>
      </c>
      <c r="O19" s="9">
        <v>147</v>
      </c>
      <c r="P19" s="9">
        <v>3293</v>
      </c>
      <c r="Q19" s="9">
        <v>389</v>
      </c>
      <c r="R19" s="9">
        <v>20766</v>
      </c>
      <c r="S19" s="9">
        <v>0</v>
      </c>
      <c r="T19" s="9">
        <v>6076</v>
      </c>
    </row>
    <row r="20" spans="1:20" x14ac:dyDescent="0.35">
      <c r="A20" s="2" t="s">
        <v>18</v>
      </c>
      <c r="B20" s="9">
        <v>1981</v>
      </c>
      <c r="C20" s="9">
        <v>369</v>
      </c>
      <c r="D20" s="9">
        <v>1220</v>
      </c>
      <c r="E20" s="9">
        <v>3339</v>
      </c>
      <c r="F20" s="9">
        <v>2349</v>
      </c>
      <c r="G20" s="9">
        <v>33123</v>
      </c>
      <c r="H20" s="9">
        <v>1030</v>
      </c>
      <c r="I20" s="9">
        <v>2549</v>
      </c>
      <c r="J20" s="9">
        <v>258</v>
      </c>
      <c r="K20" s="9">
        <v>113</v>
      </c>
      <c r="L20" s="9">
        <v>75</v>
      </c>
      <c r="M20" s="9">
        <v>1460</v>
      </c>
      <c r="N20" s="9">
        <v>146</v>
      </c>
      <c r="O20" s="9">
        <v>487</v>
      </c>
      <c r="P20" s="10">
        <v>0</v>
      </c>
      <c r="Q20" s="9">
        <v>2019</v>
      </c>
      <c r="R20" s="9">
        <v>42119</v>
      </c>
      <c r="S20" s="9">
        <v>773</v>
      </c>
      <c r="T20" s="8">
        <v>0</v>
      </c>
    </row>
    <row r="21" spans="1:20" x14ac:dyDescent="0.35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20" x14ac:dyDescent="0.35">
      <c r="F22" s="5"/>
      <c r="G22" s="5"/>
      <c r="N22" s="5"/>
      <c r="P22" s="5"/>
      <c r="S22" s="5"/>
    </row>
    <row r="23" spans="1:20" x14ac:dyDescent="0.35">
      <c r="B23" s="11"/>
      <c r="F23" s="5"/>
      <c r="G23" s="5"/>
      <c r="P23" s="5"/>
      <c r="S23" s="5"/>
    </row>
    <row r="24" spans="1:20" x14ac:dyDescent="0.35"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25" spans="1:20" x14ac:dyDescent="0.35">
      <c r="F25" s="9"/>
      <c r="G25" s="9"/>
      <c r="N25" s="9"/>
      <c r="P25" s="9"/>
      <c r="S25" s="9"/>
    </row>
    <row r="26" spans="1:20" x14ac:dyDescent="0.35">
      <c r="F26" s="9"/>
      <c r="G26" s="9"/>
      <c r="P26" s="9"/>
      <c r="S26" s="9"/>
    </row>
    <row r="27" spans="1:20" x14ac:dyDescent="0.35">
      <c r="F27" s="9"/>
      <c r="P27" s="9"/>
      <c r="S27" s="9"/>
    </row>
    <row r="28" spans="1:20" x14ac:dyDescent="0.35">
      <c r="F28" s="9"/>
      <c r="P28" s="9"/>
      <c r="S28" s="9"/>
    </row>
    <row r="29" spans="1:20" x14ac:dyDescent="0.35">
      <c r="F29" s="9"/>
      <c r="P29" s="9"/>
      <c r="S29" s="9"/>
    </row>
    <row r="30" spans="1:20" x14ac:dyDescent="0.35">
      <c r="F30" s="9"/>
      <c r="P30" s="9"/>
      <c r="S30" s="9"/>
    </row>
    <row r="31" spans="1:20" x14ac:dyDescent="0.35">
      <c r="F31" s="9"/>
      <c r="P31" s="9"/>
      <c r="S31" s="9"/>
    </row>
    <row r="32" spans="1:20" x14ac:dyDescent="0.35">
      <c r="P32" s="9"/>
      <c r="S32" s="9"/>
    </row>
    <row r="33" spans="16:19" x14ac:dyDescent="0.35">
      <c r="P33" s="10"/>
      <c r="S33" s="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16A6-E7E6-457B-848D-C923C60C8F8A}">
  <sheetPr codeName="Sheet2"/>
  <dimension ref="A1:U21"/>
  <sheetViews>
    <sheetView zoomScale="55" zoomScaleNormal="55" workbookViewId="0">
      <selection activeCell="P30" sqref="P30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4" t="s">
        <v>20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1" customFormat="1" ht="29" x14ac:dyDescent="0.35">
      <c r="A2" s="6"/>
      <c r="B2" s="7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 x14ac:dyDescent="0.35">
      <c r="A3" s="15" t="s">
        <v>21</v>
      </c>
      <c r="B3" s="2" t="s">
        <v>0</v>
      </c>
      <c r="C3">
        <v>0</v>
      </c>
      <c r="D3">
        <v>-125311</v>
      </c>
      <c r="E3">
        <v>-6009</v>
      </c>
      <c r="F3">
        <v>9864</v>
      </c>
      <c r="G3">
        <v>-190832</v>
      </c>
      <c r="H3">
        <v>-343</v>
      </c>
      <c r="I3">
        <v>579</v>
      </c>
      <c r="J3">
        <v>670</v>
      </c>
      <c r="K3">
        <v>73</v>
      </c>
      <c r="L3">
        <v>169</v>
      </c>
      <c r="M3">
        <v>4</v>
      </c>
      <c r="N3">
        <v>2008</v>
      </c>
      <c r="O3">
        <v>40</v>
      </c>
      <c r="P3">
        <v>204</v>
      </c>
      <c r="Q3">
        <v>-206796</v>
      </c>
      <c r="R3">
        <v>-9286</v>
      </c>
      <c r="S3">
        <v>82571</v>
      </c>
      <c r="T3">
        <v>-122347</v>
      </c>
      <c r="U3">
        <v>7502</v>
      </c>
    </row>
    <row r="4" spans="1:21" ht="15" customHeight="1" x14ac:dyDescent="0.35">
      <c r="A4" s="16"/>
      <c r="B4" s="2" t="s">
        <v>1</v>
      </c>
      <c r="C4">
        <v>125311</v>
      </c>
      <c r="D4">
        <v>0</v>
      </c>
      <c r="E4">
        <v>5438</v>
      </c>
      <c r="F4">
        <v>-220</v>
      </c>
      <c r="G4">
        <v>2470</v>
      </c>
      <c r="H4">
        <v>-17</v>
      </c>
      <c r="I4">
        <v>167</v>
      </c>
      <c r="J4">
        <v>210</v>
      </c>
      <c r="K4">
        <v>16</v>
      </c>
      <c r="L4">
        <v>-79</v>
      </c>
      <c r="M4">
        <v>-120</v>
      </c>
      <c r="N4">
        <v>-6606</v>
      </c>
      <c r="O4">
        <v>-19</v>
      </c>
      <c r="P4">
        <v>121</v>
      </c>
      <c r="Q4">
        <v>-364</v>
      </c>
      <c r="R4">
        <v>-3569</v>
      </c>
      <c r="S4">
        <v>28225</v>
      </c>
      <c r="T4">
        <v>10179</v>
      </c>
      <c r="U4">
        <v>1855</v>
      </c>
    </row>
    <row r="5" spans="1:21" ht="15" customHeight="1" x14ac:dyDescent="0.35">
      <c r="A5" s="16"/>
      <c r="B5" s="2" t="s">
        <v>2</v>
      </c>
      <c r="C5">
        <v>6009</v>
      </c>
      <c r="D5">
        <v>-5438</v>
      </c>
      <c r="E5">
        <v>0</v>
      </c>
      <c r="F5">
        <v>6058</v>
      </c>
      <c r="G5">
        <v>-17911</v>
      </c>
      <c r="H5">
        <v>-495</v>
      </c>
      <c r="I5">
        <v>-42</v>
      </c>
      <c r="J5">
        <v>354</v>
      </c>
      <c r="K5">
        <v>-76</v>
      </c>
      <c r="L5">
        <v>24</v>
      </c>
      <c r="M5">
        <v>-101</v>
      </c>
      <c r="N5">
        <v>890</v>
      </c>
      <c r="O5">
        <v>-191</v>
      </c>
      <c r="P5">
        <v>-341</v>
      </c>
      <c r="Q5">
        <v>89961</v>
      </c>
      <c r="R5">
        <v>-2686</v>
      </c>
      <c r="S5">
        <v>70683</v>
      </c>
      <c r="T5">
        <v>-22936</v>
      </c>
      <c r="U5">
        <v>3103</v>
      </c>
    </row>
    <row r="6" spans="1:21" ht="15" customHeight="1" x14ac:dyDescent="0.35">
      <c r="A6" s="16"/>
      <c r="B6" s="2" t="s">
        <v>3</v>
      </c>
      <c r="C6">
        <v>-9864</v>
      </c>
      <c r="D6">
        <v>220</v>
      </c>
      <c r="E6">
        <v>-6058</v>
      </c>
      <c r="F6">
        <v>0</v>
      </c>
      <c r="G6">
        <v>-21945</v>
      </c>
      <c r="H6">
        <v>-6865</v>
      </c>
      <c r="I6">
        <v>-437</v>
      </c>
      <c r="J6">
        <v>-6879</v>
      </c>
      <c r="K6">
        <v>-26637</v>
      </c>
      <c r="L6">
        <v>-8287</v>
      </c>
      <c r="M6">
        <v>-1938</v>
      </c>
      <c r="N6">
        <v>-15510</v>
      </c>
      <c r="O6">
        <v>-6014</v>
      </c>
      <c r="P6">
        <v>-978</v>
      </c>
      <c r="Q6">
        <v>-3284</v>
      </c>
      <c r="R6">
        <v>-10248</v>
      </c>
      <c r="S6">
        <v>505832</v>
      </c>
      <c r="T6">
        <v>-3872</v>
      </c>
      <c r="U6">
        <v>-2358</v>
      </c>
    </row>
    <row r="7" spans="1:21" ht="15" customHeight="1" x14ac:dyDescent="0.35">
      <c r="A7" s="16"/>
      <c r="B7" s="2" t="s">
        <v>4</v>
      </c>
      <c r="C7">
        <v>190832</v>
      </c>
      <c r="D7">
        <v>-2470</v>
      </c>
      <c r="E7">
        <v>17911</v>
      </c>
      <c r="F7">
        <v>21945</v>
      </c>
      <c r="G7">
        <v>0</v>
      </c>
      <c r="H7">
        <v>305</v>
      </c>
      <c r="I7">
        <v>1490</v>
      </c>
      <c r="J7">
        <v>3139</v>
      </c>
      <c r="K7">
        <v>380</v>
      </c>
      <c r="L7">
        <v>271</v>
      </c>
      <c r="M7">
        <v>273</v>
      </c>
      <c r="N7">
        <v>2037</v>
      </c>
      <c r="O7">
        <v>144</v>
      </c>
      <c r="P7">
        <v>998</v>
      </c>
      <c r="Q7">
        <v>1819</v>
      </c>
      <c r="R7">
        <v>-2573</v>
      </c>
      <c r="S7">
        <v>50031</v>
      </c>
      <c r="T7">
        <v>-1393</v>
      </c>
      <c r="U7">
        <v>19849</v>
      </c>
    </row>
    <row r="8" spans="1:21" ht="15" customHeight="1" x14ac:dyDescent="0.35">
      <c r="A8" s="16"/>
      <c r="B8" s="2" t="s">
        <v>5</v>
      </c>
      <c r="C8">
        <v>343</v>
      </c>
      <c r="D8">
        <v>17</v>
      </c>
      <c r="E8">
        <v>495</v>
      </c>
      <c r="F8">
        <v>6865</v>
      </c>
      <c r="G8">
        <v>-305</v>
      </c>
      <c r="H8">
        <v>0</v>
      </c>
      <c r="I8">
        <v>3681</v>
      </c>
      <c r="J8">
        <v>28368</v>
      </c>
      <c r="K8">
        <v>89</v>
      </c>
      <c r="L8">
        <v>226</v>
      </c>
      <c r="M8">
        <v>144</v>
      </c>
      <c r="N8">
        <v>2752</v>
      </c>
      <c r="O8">
        <v>298</v>
      </c>
      <c r="P8">
        <v>11895</v>
      </c>
      <c r="Q8">
        <v>0</v>
      </c>
      <c r="R8">
        <v>806</v>
      </c>
      <c r="S8">
        <v>272646</v>
      </c>
      <c r="T8">
        <v>-360</v>
      </c>
      <c r="U8">
        <v>522455</v>
      </c>
    </row>
    <row r="9" spans="1:21" ht="15" customHeight="1" x14ac:dyDescent="0.35">
      <c r="A9" s="16"/>
      <c r="B9" s="2" t="s">
        <v>6</v>
      </c>
      <c r="C9">
        <v>-579</v>
      </c>
      <c r="D9">
        <v>-167</v>
      </c>
      <c r="E9">
        <v>42</v>
      </c>
      <c r="F9">
        <v>437</v>
      </c>
      <c r="G9">
        <v>-1490</v>
      </c>
      <c r="H9">
        <v>-3681</v>
      </c>
      <c r="I9">
        <v>0</v>
      </c>
      <c r="J9">
        <v>-423</v>
      </c>
      <c r="K9">
        <v>-54699</v>
      </c>
      <c r="L9">
        <v>-1219</v>
      </c>
      <c r="M9">
        <v>-2014</v>
      </c>
      <c r="N9">
        <v>7</v>
      </c>
      <c r="O9">
        <v>-93194</v>
      </c>
      <c r="P9">
        <v>-4773</v>
      </c>
      <c r="Q9">
        <v>-58</v>
      </c>
      <c r="R9">
        <v>-2016</v>
      </c>
      <c r="S9">
        <v>34944</v>
      </c>
      <c r="T9">
        <v>-252</v>
      </c>
      <c r="U9">
        <v>631</v>
      </c>
    </row>
    <row r="10" spans="1:21" ht="15" customHeight="1" x14ac:dyDescent="0.35">
      <c r="A10" s="16"/>
      <c r="B10" s="2" t="s">
        <v>7</v>
      </c>
      <c r="C10">
        <v>-670</v>
      </c>
      <c r="D10">
        <v>-210</v>
      </c>
      <c r="E10">
        <v>-354</v>
      </c>
      <c r="F10">
        <v>6879</v>
      </c>
      <c r="G10">
        <v>-3139</v>
      </c>
      <c r="H10">
        <v>-28368</v>
      </c>
      <c r="I10">
        <v>423</v>
      </c>
      <c r="J10">
        <v>0</v>
      </c>
      <c r="K10">
        <v>-19</v>
      </c>
      <c r="L10">
        <v>-24</v>
      </c>
      <c r="M10">
        <v>191</v>
      </c>
      <c r="N10">
        <v>63</v>
      </c>
      <c r="O10">
        <v>-33</v>
      </c>
      <c r="P10">
        <v>1093</v>
      </c>
      <c r="Q10">
        <v>-81</v>
      </c>
      <c r="R10">
        <v>-79</v>
      </c>
      <c r="S10">
        <v>134719</v>
      </c>
      <c r="T10">
        <v>-320</v>
      </c>
      <c r="U10">
        <v>22051</v>
      </c>
    </row>
    <row r="11" spans="1:21" ht="15" customHeight="1" x14ac:dyDescent="0.35">
      <c r="A11" s="16"/>
      <c r="B11" s="2" t="s">
        <v>8</v>
      </c>
      <c r="C11">
        <v>-73</v>
      </c>
      <c r="D11">
        <v>-16</v>
      </c>
      <c r="E11">
        <v>76</v>
      </c>
      <c r="F11">
        <v>26637</v>
      </c>
      <c r="G11">
        <v>-380</v>
      </c>
      <c r="H11">
        <v>-89</v>
      </c>
      <c r="I11">
        <v>54699</v>
      </c>
      <c r="J11">
        <v>19</v>
      </c>
      <c r="K11">
        <v>0</v>
      </c>
      <c r="L11">
        <v>228420</v>
      </c>
      <c r="M11">
        <v>99036</v>
      </c>
      <c r="N11">
        <v>298649</v>
      </c>
      <c r="O11">
        <v>8550</v>
      </c>
      <c r="P11">
        <v>1839</v>
      </c>
      <c r="Q11">
        <v>-36</v>
      </c>
      <c r="R11">
        <v>-180</v>
      </c>
      <c r="S11">
        <v>457400</v>
      </c>
      <c r="T11">
        <v>-120</v>
      </c>
      <c r="U11">
        <v>759</v>
      </c>
    </row>
    <row r="12" spans="1:21" ht="15" customHeight="1" x14ac:dyDescent="0.35">
      <c r="A12" s="16"/>
      <c r="B12" s="2" t="s">
        <v>9</v>
      </c>
      <c r="C12">
        <v>-169</v>
      </c>
      <c r="D12">
        <v>79</v>
      </c>
      <c r="E12">
        <v>-24</v>
      </c>
      <c r="F12">
        <v>8287</v>
      </c>
      <c r="G12">
        <v>-271</v>
      </c>
      <c r="H12">
        <v>-226</v>
      </c>
      <c r="I12">
        <v>1219</v>
      </c>
      <c r="J12">
        <v>24</v>
      </c>
      <c r="K12">
        <v>-228420</v>
      </c>
      <c r="L12">
        <v>0</v>
      </c>
      <c r="M12">
        <v>-1518</v>
      </c>
      <c r="N12">
        <v>66941</v>
      </c>
      <c r="O12">
        <v>-2592</v>
      </c>
      <c r="P12">
        <v>134</v>
      </c>
      <c r="Q12">
        <v>-72</v>
      </c>
      <c r="R12">
        <v>-110</v>
      </c>
      <c r="S12">
        <v>219917</v>
      </c>
      <c r="T12">
        <v>-95</v>
      </c>
      <c r="U12">
        <v>466</v>
      </c>
    </row>
    <row r="13" spans="1:21" ht="15" customHeight="1" x14ac:dyDescent="0.35">
      <c r="A13" s="16"/>
      <c r="B13" s="2" t="s">
        <v>10</v>
      </c>
      <c r="C13">
        <v>-4</v>
      </c>
      <c r="D13">
        <v>120</v>
      </c>
      <c r="E13">
        <v>101</v>
      </c>
      <c r="F13">
        <v>1938</v>
      </c>
      <c r="G13">
        <v>-273</v>
      </c>
      <c r="H13">
        <v>-144</v>
      </c>
      <c r="I13">
        <v>2014</v>
      </c>
      <c r="J13">
        <v>-191</v>
      </c>
      <c r="K13">
        <v>-99036</v>
      </c>
      <c r="L13">
        <v>1518</v>
      </c>
      <c r="M13">
        <v>0</v>
      </c>
      <c r="N13">
        <v>1195</v>
      </c>
      <c r="O13">
        <v>-132697</v>
      </c>
      <c r="P13">
        <v>448</v>
      </c>
      <c r="Q13">
        <v>-27</v>
      </c>
      <c r="R13">
        <v>-189</v>
      </c>
      <c r="S13">
        <v>106231</v>
      </c>
      <c r="T13">
        <v>-51</v>
      </c>
      <c r="U13">
        <v>362</v>
      </c>
    </row>
    <row r="14" spans="1:21" ht="15" customHeight="1" x14ac:dyDescent="0.35">
      <c r="A14" s="16"/>
      <c r="B14" s="2" t="s">
        <v>11</v>
      </c>
      <c r="C14">
        <v>-2008</v>
      </c>
      <c r="D14">
        <v>6606</v>
      </c>
      <c r="E14">
        <v>-890</v>
      </c>
      <c r="F14">
        <v>15510</v>
      </c>
      <c r="G14">
        <v>-2037</v>
      </c>
      <c r="H14">
        <v>-2752</v>
      </c>
      <c r="I14">
        <v>-7</v>
      </c>
      <c r="J14">
        <v>-63</v>
      </c>
      <c r="K14">
        <v>-298649</v>
      </c>
      <c r="L14">
        <v>-66941</v>
      </c>
      <c r="M14">
        <v>-1195</v>
      </c>
      <c r="N14">
        <v>0</v>
      </c>
      <c r="O14">
        <v>-2171</v>
      </c>
      <c r="P14">
        <v>-24248</v>
      </c>
      <c r="Q14">
        <v>2769</v>
      </c>
      <c r="R14">
        <v>-2051</v>
      </c>
      <c r="S14">
        <v>4099784</v>
      </c>
      <c r="T14">
        <v>-394</v>
      </c>
      <c r="U14">
        <v>1426</v>
      </c>
    </row>
    <row r="15" spans="1:21" ht="15" customHeight="1" x14ac:dyDescent="0.35">
      <c r="A15" s="16"/>
      <c r="B15" s="2" t="s">
        <v>12</v>
      </c>
      <c r="C15">
        <v>-40</v>
      </c>
      <c r="D15">
        <v>19</v>
      </c>
      <c r="E15">
        <v>191</v>
      </c>
      <c r="F15">
        <v>6014</v>
      </c>
      <c r="G15">
        <v>-144</v>
      </c>
      <c r="H15">
        <v>-298</v>
      </c>
      <c r="I15">
        <v>93194</v>
      </c>
      <c r="J15">
        <v>33</v>
      </c>
      <c r="K15">
        <v>-8550</v>
      </c>
      <c r="L15">
        <v>2592</v>
      </c>
      <c r="M15">
        <v>132697</v>
      </c>
      <c r="N15">
        <v>2171</v>
      </c>
      <c r="O15">
        <v>0</v>
      </c>
      <c r="P15">
        <v>4111</v>
      </c>
      <c r="Q15">
        <v>0</v>
      </c>
      <c r="R15">
        <v>-122</v>
      </c>
      <c r="S15">
        <v>164938</v>
      </c>
      <c r="T15">
        <v>-11</v>
      </c>
      <c r="U15">
        <v>2380</v>
      </c>
    </row>
    <row r="16" spans="1:21" ht="15" customHeight="1" x14ac:dyDescent="0.35">
      <c r="A16" s="16"/>
      <c r="B16" s="2" t="s">
        <v>13</v>
      </c>
      <c r="C16">
        <v>-204</v>
      </c>
      <c r="D16">
        <v>-121</v>
      </c>
      <c r="E16">
        <v>341</v>
      </c>
      <c r="F16">
        <v>978</v>
      </c>
      <c r="G16">
        <v>-998</v>
      </c>
      <c r="H16">
        <v>-11895</v>
      </c>
      <c r="I16">
        <v>4773</v>
      </c>
      <c r="J16">
        <v>-1093</v>
      </c>
      <c r="K16">
        <v>-1839</v>
      </c>
      <c r="L16">
        <v>-134</v>
      </c>
      <c r="M16">
        <v>-448</v>
      </c>
      <c r="N16">
        <v>24248</v>
      </c>
      <c r="O16">
        <v>-4111</v>
      </c>
      <c r="P16">
        <v>0</v>
      </c>
      <c r="Q16">
        <v>-38</v>
      </c>
      <c r="R16">
        <v>-1567</v>
      </c>
      <c r="S16">
        <v>82419</v>
      </c>
      <c r="T16">
        <v>-147</v>
      </c>
      <c r="U16">
        <v>983</v>
      </c>
    </row>
    <row r="17" spans="1:21" ht="15" customHeight="1" x14ac:dyDescent="0.35">
      <c r="A17" s="16"/>
      <c r="B17" s="2" t="s">
        <v>14</v>
      </c>
      <c r="C17">
        <v>206796</v>
      </c>
      <c r="D17">
        <v>364</v>
      </c>
      <c r="E17">
        <v>-89961</v>
      </c>
      <c r="F17">
        <v>3284</v>
      </c>
      <c r="G17">
        <v>-1819</v>
      </c>
      <c r="H17">
        <v>0</v>
      </c>
      <c r="I17">
        <v>58</v>
      </c>
      <c r="J17">
        <v>81</v>
      </c>
      <c r="K17">
        <v>36</v>
      </c>
      <c r="L17">
        <v>72</v>
      </c>
      <c r="M17">
        <v>27</v>
      </c>
      <c r="N17">
        <v>-2769</v>
      </c>
      <c r="O17">
        <v>0</v>
      </c>
      <c r="P17">
        <v>38</v>
      </c>
      <c r="Q17">
        <v>0</v>
      </c>
      <c r="R17">
        <v>339</v>
      </c>
      <c r="S17">
        <v>4475</v>
      </c>
      <c r="T17">
        <v>-2052</v>
      </c>
      <c r="U17">
        <v>359</v>
      </c>
    </row>
    <row r="18" spans="1:21" ht="15" customHeight="1" x14ac:dyDescent="0.35">
      <c r="A18" s="16"/>
      <c r="B18" s="2" t="s">
        <v>15</v>
      </c>
      <c r="C18">
        <v>9286</v>
      </c>
      <c r="D18">
        <v>3569</v>
      </c>
      <c r="E18">
        <v>2686</v>
      </c>
      <c r="F18">
        <v>10248</v>
      </c>
      <c r="G18">
        <v>2573</v>
      </c>
      <c r="H18">
        <v>-806</v>
      </c>
      <c r="I18">
        <v>2016</v>
      </c>
      <c r="J18">
        <v>79</v>
      </c>
      <c r="K18">
        <v>180</v>
      </c>
      <c r="L18">
        <v>110</v>
      </c>
      <c r="M18">
        <v>189</v>
      </c>
      <c r="N18">
        <v>2051</v>
      </c>
      <c r="O18">
        <v>122</v>
      </c>
      <c r="P18">
        <v>1567</v>
      </c>
      <c r="Q18">
        <v>-339</v>
      </c>
      <c r="R18">
        <v>0</v>
      </c>
      <c r="S18">
        <v>138053</v>
      </c>
      <c r="T18">
        <v>166</v>
      </c>
      <c r="U18">
        <v>27616</v>
      </c>
    </row>
    <row r="19" spans="1:21" ht="15" customHeight="1" x14ac:dyDescent="0.35">
      <c r="A19" s="16"/>
      <c r="B19" s="2" t="s">
        <v>16</v>
      </c>
      <c r="C19">
        <v>-82571</v>
      </c>
      <c r="D19">
        <v>-28225</v>
      </c>
      <c r="E19">
        <v>-70683</v>
      </c>
      <c r="F19">
        <v>-505832</v>
      </c>
      <c r="G19">
        <v>-50031</v>
      </c>
      <c r="H19">
        <v>-272646</v>
      </c>
      <c r="I19">
        <v>-34944</v>
      </c>
      <c r="J19">
        <v>-134719</v>
      </c>
      <c r="K19">
        <v>-457400</v>
      </c>
      <c r="L19">
        <v>-219917</v>
      </c>
      <c r="M19">
        <v>-106231</v>
      </c>
      <c r="N19">
        <v>-4099784</v>
      </c>
      <c r="O19">
        <v>-164938</v>
      </c>
      <c r="P19">
        <v>-82419</v>
      </c>
      <c r="Q19">
        <v>-4475</v>
      </c>
      <c r="R19">
        <v>-138053</v>
      </c>
      <c r="S19">
        <v>0</v>
      </c>
      <c r="T19">
        <v>-19241</v>
      </c>
      <c r="U19">
        <v>-30480</v>
      </c>
    </row>
    <row r="20" spans="1:21" ht="15" customHeight="1" x14ac:dyDescent="0.35">
      <c r="A20" s="16"/>
      <c r="B20" s="2" t="s">
        <v>17</v>
      </c>
      <c r="C20">
        <v>122347</v>
      </c>
      <c r="D20">
        <v>-10179</v>
      </c>
      <c r="E20">
        <v>22936</v>
      </c>
      <c r="F20">
        <v>3872</v>
      </c>
      <c r="G20">
        <v>1393</v>
      </c>
      <c r="H20">
        <v>360</v>
      </c>
      <c r="I20">
        <v>252</v>
      </c>
      <c r="J20">
        <v>320</v>
      </c>
      <c r="K20">
        <v>120</v>
      </c>
      <c r="L20">
        <v>95</v>
      </c>
      <c r="M20">
        <v>51</v>
      </c>
      <c r="N20">
        <v>394</v>
      </c>
      <c r="O20">
        <v>11</v>
      </c>
      <c r="P20">
        <v>147</v>
      </c>
      <c r="Q20">
        <v>2052</v>
      </c>
      <c r="R20">
        <v>-166</v>
      </c>
      <c r="S20">
        <v>19241</v>
      </c>
      <c r="T20">
        <v>0</v>
      </c>
      <c r="U20">
        <v>5303</v>
      </c>
    </row>
    <row r="21" spans="1:21" x14ac:dyDescent="0.35">
      <c r="A21" s="16"/>
      <c r="B21" s="2" t="s">
        <v>18</v>
      </c>
      <c r="C21">
        <v>-7502</v>
      </c>
      <c r="D21">
        <v>-1855</v>
      </c>
      <c r="E21">
        <v>-3103</v>
      </c>
      <c r="F21">
        <v>2358</v>
      </c>
      <c r="G21">
        <v>-19849</v>
      </c>
      <c r="H21">
        <v>-522455</v>
      </c>
      <c r="I21">
        <v>-631</v>
      </c>
      <c r="J21">
        <v>-22051</v>
      </c>
      <c r="K21">
        <v>-759</v>
      </c>
      <c r="L21">
        <v>-466</v>
      </c>
      <c r="M21">
        <v>-362</v>
      </c>
      <c r="N21">
        <v>-1426</v>
      </c>
      <c r="O21">
        <v>-2380</v>
      </c>
      <c r="P21">
        <v>-983</v>
      </c>
      <c r="Q21">
        <v>-359</v>
      </c>
      <c r="R21">
        <v>-27616</v>
      </c>
      <c r="S21">
        <v>30480</v>
      </c>
      <c r="T21">
        <v>-5303</v>
      </c>
      <c r="U21">
        <v>0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94EF-054B-45C1-BE15-E2436B7AA096}">
  <sheetPr codeName="Sheet3"/>
  <dimension ref="A1:W25"/>
  <sheetViews>
    <sheetView zoomScale="55" zoomScaleNormal="55" workbookViewId="0">
      <selection activeCell="C28" sqref="C28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3" ht="74.25" customHeight="1" x14ac:dyDescent="0.35">
      <c r="A1" s="6"/>
      <c r="B1" s="6"/>
      <c r="C1" s="14" t="s">
        <v>20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3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1" t="s">
        <v>26</v>
      </c>
      <c r="W2" s="1" t="s">
        <v>25</v>
      </c>
    </row>
    <row r="3" spans="1:23" ht="15" customHeight="1" x14ac:dyDescent="0.35">
      <c r="A3" s="15" t="s">
        <v>21</v>
      </c>
      <c r="B3" s="2" t="s">
        <v>0</v>
      </c>
      <c r="C3">
        <f>IF(OR(Net!C3&lt;0,Net!C3="NA"),"",Net!C3)</f>
        <v>0</v>
      </c>
      <c r="D3" t="str">
        <f>IF(OR(Net!D3&lt;0,Net!D3="NA"),"",Net!D3)</f>
        <v/>
      </c>
      <c r="E3" t="str">
        <f>IF(OR(Net!E3&lt;0,Net!E3="NA"),"",Net!E3)</f>
        <v/>
      </c>
      <c r="F3">
        <f>IF(OR(Net!F3&lt;0,Net!F3="NA"),"",Net!F3)</f>
        <v>9864</v>
      </c>
      <c r="G3" t="str">
        <f>IF(OR(Net!G3&lt;0,Net!G3="NA"),"",Net!G3)</f>
        <v/>
      </c>
      <c r="H3" t="str">
        <f>IF(OR(Net!H3&lt;0,Net!H3="NA"),"",Net!H3)</f>
        <v/>
      </c>
      <c r="I3">
        <f>IF(OR(Net!I3&lt;0,Net!I3="NA"),"",Net!I3)</f>
        <v>579</v>
      </c>
      <c r="J3">
        <f>IF(OR(Net!J3&lt;0,Net!J3="NA"),"",Net!J3)</f>
        <v>670</v>
      </c>
      <c r="K3">
        <f>IF(OR(Net!K3&lt;0,Net!K3="NA"),"",Net!K3)</f>
        <v>73</v>
      </c>
      <c r="L3">
        <f>IF(OR(Net!L3&lt;0,Net!L3="NA"),"",Net!L3)</f>
        <v>169</v>
      </c>
      <c r="M3">
        <f>IF(OR(Net!M3&lt;0,Net!M3="NA"),"",Net!M3)</f>
        <v>4</v>
      </c>
      <c r="N3">
        <f>IF(OR(Net!N3&lt;0,Net!N3="NA"),"",Net!N3)</f>
        <v>2008</v>
      </c>
      <c r="O3">
        <f>IF(OR(Net!O3&lt;0,Net!O3="NA"),"",Net!O3)</f>
        <v>40</v>
      </c>
      <c r="P3">
        <f>IF(OR(Net!P3&lt;0,Net!P3="NA"),"",Net!P3)</f>
        <v>204</v>
      </c>
      <c r="Q3" t="str">
        <f>IF(OR(Net!Q3&lt;0,Net!Q3="NA"),"",Net!Q3)</f>
        <v/>
      </c>
      <c r="R3" t="str">
        <f>IF(OR(Net!R3&lt;0,Net!R3="NA"),"",Net!R3)</f>
        <v/>
      </c>
      <c r="S3">
        <f>IF(OR(Net!S3&lt;0,Net!S3="NA"),"",Net!S3)</f>
        <v>82571</v>
      </c>
      <c r="T3" t="str">
        <f>IF(OR(Net!T3&lt;0,Net!T3="NA"),"",Net!T3)</f>
        <v/>
      </c>
      <c r="U3">
        <f>IF(OR(Net!U3&lt;0,Net!U3="NA"),"",Net!U3)</f>
        <v>7502</v>
      </c>
      <c r="V3">
        <f>SUM(C3:U3)</f>
        <v>103684</v>
      </c>
      <c r="W3">
        <v>660924</v>
      </c>
    </row>
    <row r="4" spans="1:23" ht="15" customHeight="1" x14ac:dyDescent="0.35">
      <c r="A4" s="16"/>
      <c r="B4" s="2" t="s">
        <v>1</v>
      </c>
      <c r="C4">
        <f>IF(OR(Net!C4&lt;0,Net!C4="NA"),"",Net!C4)</f>
        <v>125311</v>
      </c>
      <c r="D4">
        <f>IF(OR(Net!D4&lt;0,Net!D4="NA"),"",Net!D4)</f>
        <v>0</v>
      </c>
      <c r="E4">
        <f>IF(OR(Net!E4&lt;0,Net!E4="NA"),"",Net!E4)</f>
        <v>5438</v>
      </c>
      <c r="F4" t="str">
        <f>IF(OR(Net!F4&lt;0,Net!F4="NA"),"",Net!F4)</f>
        <v/>
      </c>
      <c r="G4">
        <f>IF(OR(Net!G4&lt;0,Net!G4="NA"),"",Net!G4)</f>
        <v>2470</v>
      </c>
      <c r="H4" t="str">
        <f>IF(OR(Net!H4&lt;0,Net!H4="NA"),"",Net!H4)</f>
        <v/>
      </c>
      <c r="I4">
        <f>IF(OR(Net!I4&lt;0,Net!I4="NA"),"",Net!I4)</f>
        <v>167</v>
      </c>
      <c r="J4">
        <f>IF(OR(Net!J4&lt;0,Net!J4="NA"),"",Net!J4)</f>
        <v>210</v>
      </c>
      <c r="K4">
        <f>IF(OR(Net!K4&lt;0,Net!K4="NA"),"",Net!K4)</f>
        <v>16</v>
      </c>
      <c r="L4" t="str">
        <f>IF(OR(Net!L4&lt;0,Net!L4="NA"),"",Net!L4)</f>
        <v/>
      </c>
      <c r="M4" t="str">
        <f>IF(OR(Net!M4&lt;0,Net!M4="NA"),"",Net!M4)</f>
        <v/>
      </c>
      <c r="N4" t="str">
        <f>IF(OR(Net!N4&lt;0,Net!N4="NA"),"",Net!N4)</f>
        <v/>
      </c>
      <c r="O4" t="str">
        <f>IF(OR(Net!O4&lt;0,Net!O4="NA"),"",Net!O4)</f>
        <v/>
      </c>
      <c r="P4">
        <f>IF(OR(Net!P4&lt;0,Net!P4="NA"),"",Net!P4)</f>
        <v>121</v>
      </c>
      <c r="Q4" t="str">
        <f>IF(OR(Net!Q4&lt;0,Net!Q4="NA"),"",Net!Q4)</f>
        <v/>
      </c>
      <c r="R4" t="str">
        <f>IF(OR(Net!R4&lt;0,Net!R4="NA"),"",Net!R4)</f>
        <v/>
      </c>
      <c r="S4">
        <f>IF(OR(Net!S4&lt;0,Net!S4="NA"),"",Net!S4)</f>
        <v>28225</v>
      </c>
      <c r="T4">
        <f>IF(OR(Net!T4&lt;0,Net!T4="NA"),"",Net!T4)</f>
        <v>10179</v>
      </c>
      <c r="U4">
        <f>IF(OR(Net!U4&lt;0,Net!U4="NA"),"",Net!U4)</f>
        <v>1855</v>
      </c>
      <c r="V4">
        <f t="shared" ref="V4:V21" si="0">SUM(C4:U4)</f>
        <v>173992</v>
      </c>
      <c r="W4">
        <v>10994</v>
      </c>
    </row>
    <row r="5" spans="1:23" ht="15" customHeight="1" x14ac:dyDescent="0.35">
      <c r="A5" s="16"/>
      <c r="B5" s="2" t="s">
        <v>2</v>
      </c>
      <c r="C5">
        <f>IF(OR(Net!C5&lt;0,Net!C5="NA"),"",Net!C5)</f>
        <v>6009</v>
      </c>
      <c r="D5" t="str">
        <f>IF(OR(Net!D5&lt;0,Net!D5="NA"),"",Net!D5)</f>
        <v/>
      </c>
      <c r="E5">
        <f>IF(OR(Net!E5&lt;0,Net!E5="NA"),"",Net!E5)</f>
        <v>0</v>
      </c>
      <c r="F5">
        <f>IF(OR(Net!F5&lt;0,Net!F5="NA"),"",Net!F5)</f>
        <v>6058</v>
      </c>
      <c r="G5" t="str">
        <f>IF(OR(Net!G5&lt;0,Net!G5="NA"),"",Net!G5)</f>
        <v/>
      </c>
      <c r="H5" t="str">
        <f>IF(OR(Net!H5&lt;0,Net!H5="NA"),"",Net!H5)</f>
        <v/>
      </c>
      <c r="I5" t="str">
        <f>IF(OR(Net!I5&lt;0,Net!I5="NA"),"",Net!I5)</f>
        <v/>
      </c>
      <c r="J5">
        <f>IF(OR(Net!J5&lt;0,Net!J5="NA"),"",Net!J5)</f>
        <v>354</v>
      </c>
      <c r="K5" t="str">
        <f>IF(OR(Net!K5&lt;0,Net!K5="NA"),"",Net!K5)</f>
        <v/>
      </c>
      <c r="L5">
        <f>IF(OR(Net!L5&lt;0,Net!L5="NA"),"",Net!L5)</f>
        <v>24</v>
      </c>
      <c r="M5" t="str">
        <f>IF(OR(Net!M5&lt;0,Net!M5="NA"),"",Net!M5)</f>
        <v/>
      </c>
      <c r="N5">
        <f>IF(OR(Net!N5&lt;0,Net!N5="NA"),"",Net!N5)</f>
        <v>890</v>
      </c>
      <c r="O5" t="str">
        <f>IF(OR(Net!O5&lt;0,Net!O5="NA"),"",Net!O5)</f>
        <v/>
      </c>
      <c r="P5" t="str">
        <f>IF(OR(Net!P5&lt;0,Net!P5="NA"),"",Net!P5)</f>
        <v/>
      </c>
      <c r="Q5">
        <f>IF(OR(Net!Q5&lt;0,Net!Q5="NA"),"",Net!Q5)</f>
        <v>89961</v>
      </c>
      <c r="R5" t="str">
        <f>IF(OR(Net!R5&lt;0,Net!R5="NA"),"",Net!R5)</f>
        <v/>
      </c>
      <c r="S5">
        <f>IF(OR(Net!S5&lt;0,Net!S5="NA"),"",Net!S5)</f>
        <v>70683</v>
      </c>
      <c r="T5" t="str">
        <f>IF(OR(Net!T5&lt;0,Net!T5="NA"),"",Net!T5)</f>
        <v/>
      </c>
      <c r="U5">
        <f>IF(OR(Net!U5&lt;0,Net!U5="NA"),"",Net!U5)</f>
        <v>3103</v>
      </c>
      <c r="V5">
        <f t="shared" si="0"/>
        <v>177082</v>
      </c>
      <c r="W5">
        <v>50217</v>
      </c>
    </row>
    <row r="6" spans="1:23" ht="15" customHeight="1" x14ac:dyDescent="0.35">
      <c r="A6" s="16"/>
      <c r="B6" s="2" t="s">
        <v>3</v>
      </c>
      <c r="C6" t="str">
        <f>IF(OR(Net!C6&lt;0,Net!C6="NA"),"",Net!C6)</f>
        <v/>
      </c>
      <c r="D6">
        <f>IF(OR(Net!D6&lt;0,Net!D6="NA"),"",Net!D6)</f>
        <v>220</v>
      </c>
      <c r="E6" t="str">
        <f>IF(OR(Net!E6&lt;0,Net!E6="NA"),"",Net!E6)</f>
        <v/>
      </c>
      <c r="F6">
        <f>IF(OR(Net!F6&lt;0,Net!F6="NA"),"",Net!F6)</f>
        <v>0</v>
      </c>
      <c r="G6" t="str">
        <f>IF(OR(Net!G6&lt;0,Net!G6="NA"),"",Net!G6)</f>
        <v/>
      </c>
      <c r="H6" t="str">
        <f>IF(OR(Net!H6&lt;0,Net!H6="NA"),"",Net!H6)</f>
        <v/>
      </c>
      <c r="I6" t="str">
        <f>IF(OR(Net!I6&lt;0,Net!I6="NA"),"",Net!I6)</f>
        <v/>
      </c>
      <c r="J6" t="str">
        <f>IF(OR(Net!J6&lt;0,Net!J6="NA"),"",Net!J6)</f>
        <v/>
      </c>
      <c r="K6" t="str">
        <f>IF(OR(Net!K6&lt;0,Net!K6="NA"),"",Net!K6)</f>
        <v/>
      </c>
      <c r="L6" t="str">
        <f>IF(OR(Net!L6&lt;0,Net!L6="NA"),"",Net!L6)</f>
        <v/>
      </c>
      <c r="M6" t="str">
        <f>IF(OR(Net!M6&lt;0,Net!M6="NA"),"",Net!M6)</f>
        <v/>
      </c>
      <c r="N6" t="str">
        <f>IF(OR(Net!N6&lt;0,Net!N6="NA"),"",Net!N6)</f>
        <v/>
      </c>
      <c r="O6" t="str">
        <f>IF(OR(Net!O6&lt;0,Net!O6="NA"),"",Net!O6)</f>
        <v/>
      </c>
      <c r="P6" t="str">
        <f>IF(OR(Net!P6&lt;0,Net!P6="NA"),"",Net!P6)</f>
        <v/>
      </c>
      <c r="Q6" t="str">
        <f>IF(OR(Net!Q6&lt;0,Net!Q6="NA"),"",Net!Q6)</f>
        <v/>
      </c>
      <c r="R6" t="str">
        <f>IF(OR(Net!R6&lt;0,Net!R6="NA"),"",Net!R6)</f>
        <v/>
      </c>
      <c r="S6">
        <f>IF(OR(Net!S6&lt;0,Net!S6="NA"),"",Net!S6)</f>
        <v>505832</v>
      </c>
      <c r="T6" t="str">
        <f>IF(OR(Net!T6&lt;0,Net!T6="NA"),"",Net!T6)</f>
        <v/>
      </c>
      <c r="U6" t="str">
        <f>IF(OR(Net!U6&lt;0,Net!U6="NA"),"",Net!U6)</f>
        <v/>
      </c>
      <c r="V6">
        <f t="shared" si="0"/>
        <v>506052</v>
      </c>
      <c r="W6">
        <v>131174</v>
      </c>
    </row>
    <row r="7" spans="1:23" ht="15" customHeight="1" x14ac:dyDescent="0.35">
      <c r="A7" s="16"/>
      <c r="B7" s="2" t="s">
        <v>4</v>
      </c>
      <c r="C7">
        <f>IF(OR(Net!C7&lt;0,Net!C7="NA"),"",Net!C7)</f>
        <v>190832</v>
      </c>
      <c r="D7" t="str">
        <f>IF(OR(Net!D7&lt;0,Net!D7="NA"),"",Net!D7)</f>
        <v/>
      </c>
      <c r="E7">
        <f>IF(OR(Net!E7&lt;0,Net!E7="NA"),"",Net!E7)</f>
        <v>17911</v>
      </c>
      <c r="F7">
        <f>IF(OR(Net!F7&lt;0,Net!F7="NA"),"",Net!F7)</f>
        <v>21945</v>
      </c>
      <c r="G7">
        <f>IF(OR(Net!G7&lt;0,Net!G7="NA"),"",Net!G7)</f>
        <v>0</v>
      </c>
      <c r="H7">
        <f>IF(OR(Net!H7&lt;0,Net!H7="NA"),"",Net!H7)</f>
        <v>305</v>
      </c>
      <c r="I7">
        <f>IF(OR(Net!I7&lt;0,Net!I7="NA"),"",Net!I7)</f>
        <v>1490</v>
      </c>
      <c r="J7">
        <f>IF(OR(Net!J7&lt;0,Net!J7="NA"),"",Net!J7)</f>
        <v>3139</v>
      </c>
      <c r="K7">
        <f>IF(OR(Net!K7&lt;0,Net!K7="NA"),"",Net!K7)</f>
        <v>380</v>
      </c>
      <c r="L7">
        <f>IF(OR(Net!L7&lt;0,Net!L7="NA"),"",Net!L7)</f>
        <v>271</v>
      </c>
      <c r="M7">
        <f>IF(OR(Net!M7&lt;0,Net!M7="NA"),"",Net!M7)</f>
        <v>273</v>
      </c>
      <c r="N7">
        <f>IF(OR(Net!N7&lt;0,Net!N7="NA"),"",Net!N7)</f>
        <v>2037</v>
      </c>
      <c r="O7">
        <f>IF(OR(Net!O7&lt;0,Net!O7="NA"),"",Net!O7)</f>
        <v>144</v>
      </c>
      <c r="P7">
        <f>IF(OR(Net!P7&lt;0,Net!P7="NA"),"",Net!P7)</f>
        <v>998</v>
      </c>
      <c r="Q7">
        <f>IF(OR(Net!Q7&lt;0,Net!Q7="NA"),"",Net!Q7)</f>
        <v>1819</v>
      </c>
      <c r="R7" t="str">
        <f>IF(OR(Net!R7&lt;0,Net!R7="NA"),"",Net!R7)</f>
        <v/>
      </c>
      <c r="S7">
        <f>IF(OR(Net!S7&lt;0,Net!S7="NA"),"",Net!S7)</f>
        <v>50031</v>
      </c>
      <c r="T7" t="str">
        <f>IF(OR(Net!T7&lt;0,Net!T7="NA"),"",Net!T7)</f>
        <v/>
      </c>
      <c r="U7">
        <f>IF(OR(Net!U7&lt;0,Net!U7="NA"),"",Net!U7)</f>
        <v>19849</v>
      </c>
      <c r="V7">
        <f t="shared" si="0"/>
        <v>311424</v>
      </c>
      <c r="W7">
        <v>6436</v>
      </c>
    </row>
    <row r="8" spans="1:23" ht="15" customHeight="1" x14ac:dyDescent="0.35">
      <c r="A8" s="16"/>
      <c r="B8" s="2" t="s">
        <v>5</v>
      </c>
      <c r="C8">
        <f>IF(OR(Net!C8&lt;0,Net!C8="NA"),"",Net!C8)</f>
        <v>343</v>
      </c>
      <c r="D8">
        <f>IF(OR(Net!D8&lt;0,Net!D8="NA"),"",Net!D8)</f>
        <v>17</v>
      </c>
      <c r="E8">
        <f>IF(OR(Net!E8&lt;0,Net!E8="NA"),"",Net!E8)</f>
        <v>495</v>
      </c>
      <c r="F8">
        <f>IF(OR(Net!F8&lt;0,Net!F8="NA"),"",Net!F8)</f>
        <v>6865</v>
      </c>
      <c r="G8" t="str">
        <f>IF(OR(Net!G8&lt;0,Net!G8="NA"),"",Net!G8)</f>
        <v/>
      </c>
      <c r="H8">
        <f>IF(OR(Net!H8&lt;0,Net!H8="NA"),"",Net!H8)</f>
        <v>0</v>
      </c>
      <c r="I8">
        <f>IF(OR(Net!I8&lt;0,Net!I8="NA"),"",Net!I8)</f>
        <v>3681</v>
      </c>
      <c r="J8">
        <f>IF(OR(Net!J8&lt;0,Net!J8="NA"),"",Net!J8)</f>
        <v>28368</v>
      </c>
      <c r="K8">
        <f>IF(OR(Net!K8&lt;0,Net!K8="NA"),"",Net!K8)</f>
        <v>89</v>
      </c>
      <c r="L8">
        <f>IF(OR(Net!L8&lt;0,Net!L8="NA"),"",Net!L8)</f>
        <v>226</v>
      </c>
      <c r="M8">
        <f>IF(OR(Net!M8&lt;0,Net!M8="NA"),"",Net!M8)</f>
        <v>144</v>
      </c>
      <c r="N8">
        <f>IF(OR(Net!N8&lt;0,Net!N8="NA"),"",Net!N8)</f>
        <v>2752</v>
      </c>
      <c r="O8">
        <f>IF(OR(Net!O8&lt;0,Net!O8="NA"),"",Net!O8)</f>
        <v>298</v>
      </c>
      <c r="P8">
        <f>IF(OR(Net!P8&lt;0,Net!P8="NA"),"",Net!P8)</f>
        <v>11895</v>
      </c>
      <c r="Q8">
        <f>IF(OR(Net!Q8&lt;0,Net!Q8="NA"),"",Net!Q8)</f>
        <v>0</v>
      </c>
      <c r="R8">
        <f>IF(OR(Net!R8&lt;0,Net!R8="NA"),"",Net!R8)</f>
        <v>806</v>
      </c>
      <c r="S8">
        <f>IF(OR(Net!S8&lt;0,Net!S8="NA"),"",Net!S8)</f>
        <v>272646</v>
      </c>
      <c r="T8" t="str">
        <f>IF(OR(Net!T8&lt;0,Net!T8="NA"),"",Net!T8)</f>
        <v/>
      </c>
      <c r="U8">
        <f>IF(OR(Net!U8&lt;0,Net!U8="NA"),"",Net!U8)</f>
        <v>522455</v>
      </c>
      <c r="V8">
        <f t="shared" si="0"/>
        <v>851080</v>
      </c>
      <c r="W8">
        <v>665</v>
      </c>
    </row>
    <row r="9" spans="1:23" ht="15" customHeight="1" x14ac:dyDescent="0.35">
      <c r="A9" s="16"/>
      <c r="B9" s="2" t="s">
        <v>6</v>
      </c>
      <c r="C9" t="str">
        <f>IF(OR(Net!C9&lt;0,Net!C9="NA"),"",Net!C9)</f>
        <v/>
      </c>
      <c r="D9" t="str">
        <f>IF(OR(Net!D9&lt;0,Net!D9="NA"),"",Net!D9)</f>
        <v/>
      </c>
      <c r="E9">
        <f>IF(OR(Net!E9&lt;0,Net!E9="NA"),"",Net!E9)</f>
        <v>42</v>
      </c>
      <c r="F9">
        <f>IF(OR(Net!F9&lt;0,Net!F9="NA"),"",Net!F9)</f>
        <v>437</v>
      </c>
      <c r="G9" t="str">
        <f>IF(OR(Net!G9&lt;0,Net!G9="NA"),"",Net!G9)</f>
        <v/>
      </c>
      <c r="H9" t="str">
        <f>IF(OR(Net!H9&lt;0,Net!H9="NA"),"",Net!H9)</f>
        <v/>
      </c>
      <c r="I9">
        <f>IF(OR(Net!I9&lt;0,Net!I9="NA"),"",Net!I9)</f>
        <v>0</v>
      </c>
      <c r="J9" t="str">
        <f>IF(OR(Net!J9&lt;0,Net!J9="NA"),"",Net!J9)</f>
        <v/>
      </c>
      <c r="K9" t="str">
        <f>IF(OR(Net!K9&lt;0,Net!K9="NA"),"",Net!K9)</f>
        <v/>
      </c>
      <c r="L9" t="str">
        <f>IF(OR(Net!L9&lt;0,Net!L9="NA"),"",Net!L9)</f>
        <v/>
      </c>
      <c r="M9" t="str">
        <f>IF(OR(Net!M9&lt;0,Net!M9="NA"),"",Net!M9)</f>
        <v/>
      </c>
      <c r="N9">
        <f>IF(OR(Net!N9&lt;0,Net!N9="NA"),"",Net!N9)</f>
        <v>7</v>
      </c>
      <c r="O9" t="str">
        <f>IF(OR(Net!O9&lt;0,Net!O9="NA"),"",Net!O9)</f>
        <v/>
      </c>
      <c r="P9" t="str">
        <f>IF(OR(Net!P9&lt;0,Net!P9="NA"),"",Net!P9)</f>
        <v/>
      </c>
      <c r="Q9" t="str">
        <f>IF(OR(Net!Q9&lt;0,Net!Q9="NA"),"",Net!Q9)</f>
        <v/>
      </c>
      <c r="R9" t="str">
        <f>IF(OR(Net!R9&lt;0,Net!R9="NA"),"",Net!R9)</f>
        <v/>
      </c>
      <c r="S9">
        <f>IF(OR(Net!S9&lt;0,Net!S9="NA"),"",Net!S9)</f>
        <v>34944</v>
      </c>
      <c r="T9" t="str">
        <f>IF(OR(Net!T9&lt;0,Net!T9="NA"),"",Net!T9)</f>
        <v/>
      </c>
      <c r="U9">
        <f>IF(OR(Net!U9&lt;0,Net!U9="NA"),"",Net!U9)</f>
        <v>631</v>
      </c>
      <c r="V9">
        <f t="shared" si="0"/>
        <v>36061</v>
      </c>
      <c r="W9">
        <v>164565</v>
      </c>
    </row>
    <row r="10" spans="1:23" ht="15" customHeight="1" x14ac:dyDescent="0.35">
      <c r="A10" s="16"/>
      <c r="B10" s="2" t="s">
        <v>7</v>
      </c>
      <c r="C10" t="str">
        <f>IF(OR(Net!C10&lt;0,Net!C10="NA"),"",Net!C10)</f>
        <v/>
      </c>
      <c r="D10" t="str">
        <f>IF(OR(Net!D10&lt;0,Net!D10="NA"),"",Net!D10)</f>
        <v/>
      </c>
      <c r="E10" t="str">
        <f>IF(OR(Net!E10&lt;0,Net!E10="NA"),"",Net!E10)</f>
        <v/>
      </c>
      <c r="F10">
        <f>IF(OR(Net!F10&lt;0,Net!F10="NA"),"",Net!F10)</f>
        <v>6879</v>
      </c>
      <c r="G10" t="str">
        <f>IF(OR(Net!G10&lt;0,Net!G10="NA"),"",Net!G10)</f>
        <v/>
      </c>
      <c r="H10" t="str">
        <f>IF(OR(Net!H10&lt;0,Net!H10="NA"),"",Net!H10)</f>
        <v/>
      </c>
      <c r="I10">
        <f>IF(OR(Net!I10&lt;0,Net!I10="NA"),"",Net!I10)</f>
        <v>423</v>
      </c>
      <c r="J10">
        <f>IF(OR(Net!J10&lt;0,Net!J10="NA"),"",Net!J10)</f>
        <v>0</v>
      </c>
      <c r="K10" t="str">
        <f>IF(OR(Net!K10&lt;0,Net!K10="NA"),"",Net!K10)</f>
        <v/>
      </c>
      <c r="L10" t="str">
        <f>IF(OR(Net!L10&lt;0,Net!L10="NA"),"",Net!L10)</f>
        <v/>
      </c>
      <c r="M10">
        <f>IF(OR(Net!M10&lt;0,Net!M10="NA"),"",Net!M10)</f>
        <v>191</v>
      </c>
      <c r="N10">
        <f>IF(OR(Net!N10&lt;0,Net!N10="NA"),"",Net!N10)</f>
        <v>63</v>
      </c>
      <c r="O10" t="str">
        <f>IF(OR(Net!O10&lt;0,Net!O10="NA"),"",Net!O10)</f>
        <v/>
      </c>
      <c r="P10">
        <f>IF(OR(Net!P10&lt;0,Net!P10="NA"),"",Net!P10)</f>
        <v>1093</v>
      </c>
      <c r="Q10" t="str">
        <f>IF(OR(Net!Q10&lt;0,Net!Q10="NA"),"",Net!Q10)</f>
        <v/>
      </c>
      <c r="R10" t="str">
        <f>IF(OR(Net!R10&lt;0,Net!R10="NA"),"",Net!R10)</f>
        <v/>
      </c>
      <c r="S10">
        <f>IF(OR(Net!S10&lt;0,Net!S10="NA"),"",Net!S10)</f>
        <v>134719</v>
      </c>
      <c r="T10" t="str">
        <f>IF(OR(Net!T10&lt;0,Net!T10="NA"),"",Net!T10)</f>
        <v/>
      </c>
      <c r="U10">
        <f>IF(OR(Net!U10&lt;0,Net!U10="NA"),"",Net!U10)</f>
        <v>22051</v>
      </c>
      <c r="V10">
        <f t="shared" si="0"/>
        <v>165419</v>
      </c>
      <c r="W10">
        <v>33297</v>
      </c>
    </row>
    <row r="11" spans="1:23" ht="15" customHeight="1" x14ac:dyDescent="0.35">
      <c r="A11" s="16"/>
      <c r="B11" s="2" t="s">
        <v>8</v>
      </c>
      <c r="C11" t="str">
        <f>IF(OR(Net!C11&lt;0,Net!C11="NA"),"",Net!C11)</f>
        <v/>
      </c>
      <c r="D11" t="str">
        <f>IF(OR(Net!D11&lt;0,Net!D11="NA"),"",Net!D11)</f>
        <v/>
      </c>
      <c r="E11">
        <f>IF(OR(Net!E11&lt;0,Net!E11="NA"),"",Net!E11)</f>
        <v>76</v>
      </c>
      <c r="F11">
        <f>IF(OR(Net!F11&lt;0,Net!F11="NA"),"",Net!F11)</f>
        <v>26637</v>
      </c>
      <c r="G11" t="str">
        <f>IF(OR(Net!G11&lt;0,Net!G11="NA"),"",Net!G11)</f>
        <v/>
      </c>
      <c r="H11" t="str">
        <f>IF(OR(Net!H11&lt;0,Net!H11="NA"),"",Net!H11)</f>
        <v/>
      </c>
      <c r="I11">
        <f>IF(OR(Net!I11&lt;0,Net!I11="NA"),"",Net!I11)</f>
        <v>54699</v>
      </c>
      <c r="J11">
        <f>IF(OR(Net!J11&lt;0,Net!J11="NA"),"",Net!J11)</f>
        <v>19</v>
      </c>
      <c r="K11">
        <f>IF(OR(Net!K11&lt;0,Net!K11="NA"),"",Net!K11)</f>
        <v>0</v>
      </c>
      <c r="L11">
        <f>IF(OR(Net!L11&lt;0,Net!L11="NA"),"",Net!L11)</f>
        <v>228420</v>
      </c>
      <c r="M11">
        <f>IF(OR(Net!M11&lt;0,Net!M11="NA"),"",Net!M11)</f>
        <v>99036</v>
      </c>
      <c r="N11">
        <f>IF(OR(Net!N11&lt;0,Net!N11="NA"),"",Net!N11)</f>
        <v>298649</v>
      </c>
      <c r="O11">
        <f>IF(OR(Net!O11&lt;0,Net!O11="NA"),"",Net!O11)</f>
        <v>8550</v>
      </c>
      <c r="P11">
        <f>IF(OR(Net!P11&lt;0,Net!P11="NA"),"",Net!P11)</f>
        <v>1839</v>
      </c>
      <c r="Q11" t="str">
        <f>IF(OR(Net!Q11&lt;0,Net!Q11="NA"),"",Net!Q11)</f>
        <v/>
      </c>
      <c r="R11" t="str">
        <f>IF(OR(Net!R11&lt;0,Net!R11="NA"),"",Net!R11)</f>
        <v/>
      </c>
      <c r="S11">
        <f>IF(OR(Net!S11&lt;0,Net!S11="NA"),"",Net!S11)</f>
        <v>457400</v>
      </c>
      <c r="T11" t="str">
        <f>IF(OR(Net!T11&lt;0,Net!T11="NA"),"",Net!T11)</f>
        <v/>
      </c>
      <c r="U11">
        <f>IF(OR(Net!U11&lt;0,Net!U11="NA"),"",Net!U11)</f>
        <v>759</v>
      </c>
      <c r="V11">
        <f t="shared" si="0"/>
        <v>1176084</v>
      </c>
      <c r="W11">
        <v>894</v>
      </c>
    </row>
    <row r="12" spans="1:23" ht="15" customHeight="1" x14ac:dyDescent="0.35">
      <c r="A12" s="16"/>
      <c r="B12" s="2" t="s">
        <v>9</v>
      </c>
      <c r="C12" t="str">
        <f>IF(OR(Net!C12&lt;0,Net!C12="NA"),"",Net!C12)</f>
        <v/>
      </c>
      <c r="D12">
        <f>IF(OR(Net!D12&lt;0,Net!D12="NA"),"",Net!D12)</f>
        <v>79</v>
      </c>
      <c r="E12" t="str">
        <f>IF(OR(Net!E12&lt;0,Net!E12="NA"),"",Net!E12)</f>
        <v/>
      </c>
      <c r="F12">
        <f>IF(OR(Net!F12&lt;0,Net!F12="NA"),"",Net!F12)</f>
        <v>8287</v>
      </c>
      <c r="G12" t="str">
        <f>IF(OR(Net!G12&lt;0,Net!G12="NA"),"",Net!G12)</f>
        <v/>
      </c>
      <c r="H12" t="str">
        <f>IF(OR(Net!H12&lt;0,Net!H12="NA"),"",Net!H12)</f>
        <v/>
      </c>
      <c r="I12">
        <f>IF(OR(Net!I12&lt;0,Net!I12="NA"),"",Net!I12)</f>
        <v>1219</v>
      </c>
      <c r="J12">
        <f>IF(OR(Net!J12&lt;0,Net!J12="NA"),"",Net!J12)</f>
        <v>24</v>
      </c>
      <c r="K12" t="str">
        <f>IF(OR(Net!K12&lt;0,Net!K12="NA"),"",Net!K12)</f>
        <v/>
      </c>
      <c r="L12">
        <f>IF(OR(Net!L12&lt;0,Net!L12="NA"),"",Net!L12)</f>
        <v>0</v>
      </c>
      <c r="M12" t="str">
        <f>IF(OR(Net!M12&lt;0,Net!M12="NA"),"",Net!M12)</f>
        <v/>
      </c>
      <c r="N12">
        <f>IF(OR(Net!N12&lt;0,Net!N12="NA"),"",Net!N12)</f>
        <v>66941</v>
      </c>
      <c r="O12" t="str">
        <f>IF(OR(Net!O12&lt;0,Net!O12="NA"),"",Net!O12)</f>
        <v/>
      </c>
      <c r="P12">
        <f>IF(OR(Net!P12&lt;0,Net!P12="NA"),"",Net!P12)</f>
        <v>134</v>
      </c>
      <c r="Q12" t="str">
        <f>IF(OR(Net!Q12&lt;0,Net!Q12="NA"),"",Net!Q12)</f>
        <v/>
      </c>
      <c r="R12" t="str">
        <f>IF(OR(Net!R12&lt;0,Net!R12="NA"),"",Net!R12)</f>
        <v/>
      </c>
      <c r="S12">
        <f>IF(OR(Net!S12&lt;0,Net!S12="NA"),"",Net!S12)</f>
        <v>219917</v>
      </c>
      <c r="T12" t="str">
        <f>IF(OR(Net!T12&lt;0,Net!T12="NA"),"",Net!T12)</f>
        <v/>
      </c>
      <c r="U12">
        <f>IF(OR(Net!U12&lt;0,Net!U12="NA"),"",Net!U12)</f>
        <v>466</v>
      </c>
      <c r="V12">
        <f t="shared" si="0"/>
        <v>297067</v>
      </c>
      <c r="W12">
        <v>233497</v>
      </c>
    </row>
    <row r="13" spans="1:23" ht="15" customHeight="1" x14ac:dyDescent="0.35">
      <c r="A13" s="16"/>
      <c r="B13" s="2" t="s">
        <v>10</v>
      </c>
      <c r="C13" t="str">
        <f>IF(OR(Net!C13&lt;0,Net!C13="NA"),"",Net!C13)</f>
        <v/>
      </c>
      <c r="D13">
        <f>IF(OR(Net!D13&lt;0,Net!D13="NA"),"",Net!D13)</f>
        <v>120</v>
      </c>
      <c r="E13">
        <f>IF(OR(Net!E13&lt;0,Net!E13="NA"),"",Net!E13)</f>
        <v>101</v>
      </c>
      <c r="F13">
        <f>IF(OR(Net!F13&lt;0,Net!F13="NA"),"",Net!F13)</f>
        <v>1938</v>
      </c>
      <c r="G13" t="str">
        <f>IF(OR(Net!G13&lt;0,Net!G13="NA"),"",Net!G13)</f>
        <v/>
      </c>
      <c r="H13" t="str">
        <f>IF(OR(Net!H13&lt;0,Net!H13="NA"),"",Net!H13)</f>
        <v/>
      </c>
      <c r="I13">
        <f>IF(OR(Net!I13&lt;0,Net!I13="NA"),"",Net!I13)</f>
        <v>2014</v>
      </c>
      <c r="J13" t="str">
        <f>IF(OR(Net!J13&lt;0,Net!J13="NA"),"",Net!J13)</f>
        <v/>
      </c>
      <c r="K13" t="str">
        <f>IF(OR(Net!K13&lt;0,Net!K13="NA"),"",Net!K13)</f>
        <v/>
      </c>
      <c r="L13">
        <f>IF(OR(Net!L13&lt;0,Net!L13="NA"),"",Net!L13)</f>
        <v>1518</v>
      </c>
      <c r="M13">
        <f>IF(OR(Net!M13&lt;0,Net!M13="NA"),"",Net!M13)</f>
        <v>0</v>
      </c>
      <c r="N13">
        <f>IF(OR(Net!N13&lt;0,Net!N13="NA"),"",Net!N13)</f>
        <v>1195</v>
      </c>
      <c r="O13" t="str">
        <f>IF(OR(Net!O13&lt;0,Net!O13="NA"),"",Net!O13)</f>
        <v/>
      </c>
      <c r="P13">
        <f>IF(OR(Net!P13&lt;0,Net!P13="NA"),"",Net!P13)</f>
        <v>448</v>
      </c>
      <c r="Q13" t="str">
        <f>IF(OR(Net!Q13&lt;0,Net!Q13="NA"),"",Net!Q13)</f>
        <v/>
      </c>
      <c r="R13" t="str">
        <f>IF(OR(Net!R13&lt;0,Net!R13="NA"),"",Net!R13)</f>
        <v/>
      </c>
      <c r="S13">
        <f>IF(OR(Net!S13&lt;0,Net!S13="NA"),"",Net!S13)</f>
        <v>106231</v>
      </c>
      <c r="T13" t="str">
        <f>IF(OR(Net!T13&lt;0,Net!T13="NA"),"",Net!T13)</f>
        <v/>
      </c>
      <c r="U13">
        <f>IF(OR(Net!U13&lt;0,Net!U13="NA"),"",Net!U13)</f>
        <v>362</v>
      </c>
      <c r="V13">
        <f t="shared" si="0"/>
        <v>113927</v>
      </c>
      <c r="W13">
        <v>232612</v>
      </c>
    </row>
    <row r="14" spans="1:23" ht="15" customHeight="1" x14ac:dyDescent="0.35">
      <c r="A14" s="16"/>
      <c r="B14" s="2" t="s">
        <v>11</v>
      </c>
      <c r="C14" t="str">
        <f>IF(OR(Net!C14&lt;0,Net!C14="NA"),"",Net!C14)</f>
        <v/>
      </c>
      <c r="D14">
        <f>IF(OR(Net!D14&lt;0,Net!D14="NA"),"",Net!D14)</f>
        <v>6606</v>
      </c>
      <c r="E14" t="str">
        <f>IF(OR(Net!E14&lt;0,Net!E14="NA"),"",Net!E14)</f>
        <v/>
      </c>
      <c r="F14">
        <f>IF(OR(Net!F14&lt;0,Net!F14="NA"),"",Net!F14)</f>
        <v>15510</v>
      </c>
      <c r="G14" t="str">
        <f>IF(OR(Net!G14&lt;0,Net!G14="NA"),"",Net!G14)</f>
        <v/>
      </c>
      <c r="H14" t="str">
        <f>IF(OR(Net!H14&lt;0,Net!H14="NA"),"",Net!H14)</f>
        <v/>
      </c>
      <c r="I14" t="str">
        <f>IF(OR(Net!I14&lt;0,Net!I14="NA"),"",Net!I14)</f>
        <v/>
      </c>
      <c r="J14" t="str">
        <f>IF(OR(Net!J14&lt;0,Net!J14="NA"),"",Net!J14)</f>
        <v/>
      </c>
      <c r="K14" t="str">
        <f>IF(OR(Net!K14&lt;0,Net!K14="NA"),"",Net!K14)</f>
        <v/>
      </c>
      <c r="L14" t="str">
        <f>IF(OR(Net!L14&lt;0,Net!L14="NA"),"",Net!L14)</f>
        <v/>
      </c>
      <c r="M14" t="str">
        <f>IF(OR(Net!M14&lt;0,Net!M14="NA"),"",Net!M14)</f>
        <v/>
      </c>
      <c r="N14">
        <f>IF(OR(Net!N14&lt;0,Net!N14="NA"),"",Net!N14)</f>
        <v>0</v>
      </c>
      <c r="O14" t="str">
        <f>IF(OR(Net!O14&lt;0,Net!O14="NA"),"",Net!O14)</f>
        <v/>
      </c>
      <c r="P14" t="str">
        <f>IF(OR(Net!P14&lt;0,Net!P14="NA"),"",Net!P14)</f>
        <v/>
      </c>
      <c r="Q14">
        <f>IF(OR(Net!Q14&lt;0,Net!Q14="NA"),"",Net!Q14)</f>
        <v>2769</v>
      </c>
      <c r="R14" t="str">
        <f>IF(OR(Net!R14&lt;0,Net!R14="NA"),"",Net!R14)</f>
        <v/>
      </c>
      <c r="S14">
        <f>IF(OR(Net!S14&lt;0,Net!S14="NA"),"",Net!S14)</f>
        <v>4099784</v>
      </c>
      <c r="T14" t="str">
        <f>IF(OR(Net!T14&lt;0,Net!T14="NA"),"",Net!T14)</f>
        <v/>
      </c>
      <c r="U14">
        <f>IF(OR(Net!U14&lt;0,Net!U14="NA"),"",Net!U14)</f>
        <v>1426</v>
      </c>
      <c r="V14">
        <f t="shared" si="0"/>
        <v>4126095</v>
      </c>
      <c r="W14">
        <v>403406</v>
      </c>
    </row>
    <row r="15" spans="1:23" ht="15" customHeight="1" x14ac:dyDescent="0.35">
      <c r="A15" s="16"/>
      <c r="B15" s="2" t="s">
        <v>12</v>
      </c>
      <c r="C15" t="str">
        <f>IF(OR(Net!C15&lt;0,Net!C15="NA"),"",Net!C15)</f>
        <v/>
      </c>
      <c r="D15">
        <f>IF(OR(Net!D15&lt;0,Net!D15="NA"),"",Net!D15)</f>
        <v>19</v>
      </c>
      <c r="E15">
        <f>IF(OR(Net!E15&lt;0,Net!E15="NA"),"",Net!E15)</f>
        <v>191</v>
      </c>
      <c r="F15">
        <f>IF(OR(Net!F15&lt;0,Net!F15="NA"),"",Net!F15)</f>
        <v>6014</v>
      </c>
      <c r="G15" t="str">
        <f>IF(OR(Net!G15&lt;0,Net!G15="NA"),"",Net!G15)</f>
        <v/>
      </c>
      <c r="H15" t="str">
        <f>IF(OR(Net!H15&lt;0,Net!H15="NA"),"",Net!H15)</f>
        <v/>
      </c>
      <c r="I15">
        <f>IF(OR(Net!I15&lt;0,Net!I15="NA"),"",Net!I15)</f>
        <v>93194</v>
      </c>
      <c r="J15">
        <f>IF(OR(Net!J15&lt;0,Net!J15="NA"),"",Net!J15)</f>
        <v>33</v>
      </c>
      <c r="K15" t="str">
        <f>IF(OR(Net!K15&lt;0,Net!K15="NA"),"",Net!K15)</f>
        <v/>
      </c>
      <c r="L15">
        <f>IF(OR(Net!L15&lt;0,Net!L15="NA"),"",Net!L15)</f>
        <v>2592</v>
      </c>
      <c r="M15">
        <f>IF(OR(Net!M15&lt;0,Net!M15="NA"),"",Net!M15)</f>
        <v>132697</v>
      </c>
      <c r="N15">
        <f>IF(OR(Net!N15&lt;0,Net!N15="NA"),"",Net!N15)</f>
        <v>2171</v>
      </c>
      <c r="O15">
        <f>IF(OR(Net!O15&lt;0,Net!O15="NA"),"",Net!O15)</f>
        <v>0</v>
      </c>
      <c r="P15">
        <f>IF(OR(Net!P15&lt;0,Net!P15="NA"),"",Net!P15)</f>
        <v>4111</v>
      </c>
      <c r="Q15">
        <f>IF(OR(Net!Q15&lt;0,Net!Q15="NA"),"",Net!Q15)</f>
        <v>0</v>
      </c>
      <c r="R15" t="str">
        <f>IF(OR(Net!R15&lt;0,Net!R15="NA"),"",Net!R15)</f>
        <v/>
      </c>
      <c r="S15">
        <f>IF(OR(Net!S15&lt;0,Net!S15="NA"),"",Net!S15)</f>
        <v>164938</v>
      </c>
      <c r="T15" t="str">
        <f>IF(OR(Net!T15&lt;0,Net!T15="NA"),"",Net!T15)</f>
        <v/>
      </c>
      <c r="U15">
        <f>IF(OR(Net!U15&lt;0,Net!U15="NA"),"",Net!U15)</f>
        <v>2380</v>
      </c>
      <c r="V15">
        <f t="shared" si="0"/>
        <v>408340</v>
      </c>
      <c r="W15">
        <v>9165</v>
      </c>
    </row>
    <row r="16" spans="1:23" ht="15" customHeight="1" x14ac:dyDescent="0.35">
      <c r="A16" s="16"/>
      <c r="B16" s="2" t="s">
        <v>13</v>
      </c>
      <c r="C16" t="str">
        <f>IF(OR(Net!C16&lt;0,Net!C16="NA"),"",Net!C16)</f>
        <v/>
      </c>
      <c r="D16" t="str">
        <f>IF(OR(Net!D16&lt;0,Net!D16="NA"),"",Net!D16)</f>
        <v/>
      </c>
      <c r="E16">
        <f>IF(OR(Net!E16&lt;0,Net!E16="NA"),"",Net!E16)</f>
        <v>341</v>
      </c>
      <c r="F16">
        <f>IF(OR(Net!F16&lt;0,Net!F16="NA"),"",Net!F16)</f>
        <v>978</v>
      </c>
      <c r="G16" t="str">
        <f>IF(OR(Net!G16&lt;0,Net!G16="NA"),"",Net!G16)</f>
        <v/>
      </c>
      <c r="H16" t="str">
        <f>IF(OR(Net!H16&lt;0,Net!H16="NA"),"",Net!H16)</f>
        <v/>
      </c>
      <c r="I16">
        <f>IF(OR(Net!I16&lt;0,Net!I16="NA"),"",Net!I16)</f>
        <v>4773</v>
      </c>
      <c r="J16" t="str">
        <f>IF(OR(Net!J16&lt;0,Net!J16="NA"),"",Net!J16)</f>
        <v/>
      </c>
      <c r="K16" t="str">
        <f>IF(OR(Net!K16&lt;0,Net!K16="NA"),"",Net!K16)</f>
        <v/>
      </c>
      <c r="L16" t="str">
        <f>IF(OR(Net!L16&lt;0,Net!L16="NA"),"",Net!L16)</f>
        <v/>
      </c>
      <c r="M16" t="str">
        <f>IF(OR(Net!M16&lt;0,Net!M16="NA"),"",Net!M16)</f>
        <v/>
      </c>
      <c r="N16">
        <f>IF(OR(Net!N16&lt;0,Net!N16="NA"),"",Net!N16)</f>
        <v>24248</v>
      </c>
      <c r="O16" t="str">
        <f>IF(OR(Net!O16&lt;0,Net!O16="NA"),"",Net!O16)</f>
        <v/>
      </c>
      <c r="P16">
        <f>IF(OR(Net!P16&lt;0,Net!P16="NA"),"",Net!P16)</f>
        <v>0</v>
      </c>
      <c r="Q16" t="str">
        <f>IF(OR(Net!Q16&lt;0,Net!Q16="NA"),"",Net!Q16)</f>
        <v/>
      </c>
      <c r="R16" t="str">
        <f>IF(OR(Net!R16&lt;0,Net!R16="NA"),"",Net!R16)</f>
        <v/>
      </c>
      <c r="S16">
        <f>IF(OR(Net!S16&lt;0,Net!S16="NA"),"",Net!S16)</f>
        <v>82419</v>
      </c>
      <c r="T16" t="str">
        <f>IF(OR(Net!T16&lt;0,Net!T16="NA"),"",Net!T16)</f>
        <v/>
      </c>
      <c r="U16">
        <f>IF(OR(Net!U16&lt;0,Net!U16="NA"),"",Net!U16)</f>
        <v>983</v>
      </c>
      <c r="V16">
        <f t="shared" si="0"/>
        <v>113742</v>
      </c>
      <c r="W16">
        <v>22595</v>
      </c>
    </row>
    <row r="17" spans="1:23" ht="15" customHeight="1" x14ac:dyDescent="0.35">
      <c r="A17" s="16"/>
      <c r="B17" s="2" t="s">
        <v>14</v>
      </c>
      <c r="C17">
        <f>IF(OR(Net!C17&lt;0,Net!C17="NA"),"",Net!C17)</f>
        <v>206796</v>
      </c>
      <c r="D17">
        <f>IF(OR(Net!D17&lt;0,Net!D17="NA"),"",Net!D17)</f>
        <v>364</v>
      </c>
      <c r="E17" t="str">
        <f>IF(OR(Net!E17&lt;0,Net!E17="NA"),"",Net!E17)</f>
        <v/>
      </c>
      <c r="F17">
        <f>IF(OR(Net!F17&lt;0,Net!F17="NA"),"",Net!F17)</f>
        <v>3284</v>
      </c>
      <c r="G17" t="str">
        <f>IF(OR(Net!G17&lt;0,Net!G17="NA"),"",Net!G17)</f>
        <v/>
      </c>
      <c r="H17">
        <f>IF(OR(Net!H17&lt;0,Net!H17="NA"),"",Net!H17)</f>
        <v>0</v>
      </c>
      <c r="I17">
        <f>IF(OR(Net!I17&lt;0,Net!I17="NA"),"",Net!I17)</f>
        <v>58</v>
      </c>
      <c r="J17">
        <f>IF(OR(Net!J17&lt;0,Net!J17="NA"),"",Net!J17)</f>
        <v>81</v>
      </c>
      <c r="K17">
        <f>IF(OR(Net!K17&lt;0,Net!K17="NA"),"",Net!K17)</f>
        <v>36</v>
      </c>
      <c r="L17">
        <f>IF(OR(Net!L17&lt;0,Net!L17="NA"),"",Net!L17)</f>
        <v>72</v>
      </c>
      <c r="M17">
        <f>IF(OR(Net!M17&lt;0,Net!M17="NA"),"",Net!M17)</f>
        <v>27</v>
      </c>
      <c r="N17" t="str">
        <f>IF(OR(Net!N17&lt;0,Net!N17="NA"),"",Net!N17)</f>
        <v/>
      </c>
      <c r="O17">
        <f>IF(OR(Net!O17&lt;0,Net!O17="NA"),"",Net!O17)</f>
        <v>0</v>
      </c>
      <c r="P17">
        <f>IF(OR(Net!P17&lt;0,Net!P17="NA"),"",Net!P17)</f>
        <v>38</v>
      </c>
      <c r="Q17">
        <f>IF(OR(Net!Q17&lt;0,Net!Q17="NA"),"",Net!Q17)</f>
        <v>0</v>
      </c>
      <c r="R17">
        <f>IF(OR(Net!R17&lt;0,Net!R17="NA"),"",Net!R17)</f>
        <v>339</v>
      </c>
      <c r="S17">
        <f>IF(OR(Net!S17&lt;0,Net!S17="NA"),"",Net!S17)</f>
        <v>4475</v>
      </c>
      <c r="T17" t="str">
        <f>IF(OR(Net!T17&lt;0,Net!T17="NA"),"",Net!T17)</f>
        <v/>
      </c>
      <c r="U17">
        <f>IF(OR(Net!U17&lt;0,Net!U17="NA"),"",Net!U17)</f>
        <v>359</v>
      </c>
      <c r="V17">
        <f t="shared" si="0"/>
        <v>215929</v>
      </c>
      <c r="W17">
        <v>96601</v>
      </c>
    </row>
    <row r="18" spans="1:23" ht="15" customHeight="1" x14ac:dyDescent="0.35">
      <c r="A18" s="16"/>
      <c r="B18" s="2" t="s">
        <v>15</v>
      </c>
      <c r="C18">
        <f>IF(OR(Net!C18&lt;0,Net!C18="NA"),"",Net!C18)</f>
        <v>9286</v>
      </c>
      <c r="D18">
        <f>IF(OR(Net!D18&lt;0,Net!D18="NA"),"",Net!D18)</f>
        <v>3569</v>
      </c>
      <c r="E18">
        <f>IF(OR(Net!E18&lt;0,Net!E18="NA"),"",Net!E18)</f>
        <v>2686</v>
      </c>
      <c r="F18">
        <f>IF(OR(Net!F18&lt;0,Net!F18="NA"),"",Net!F18)</f>
        <v>10248</v>
      </c>
      <c r="G18">
        <f>IF(OR(Net!G18&lt;0,Net!G18="NA"),"",Net!G18)</f>
        <v>2573</v>
      </c>
      <c r="H18" t="str">
        <f>IF(OR(Net!H18&lt;0,Net!H18="NA"),"",Net!H18)</f>
        <v/>
      </c>
      <c r="I18">
        <f>IF(OR(Net!I18&lt;0,Net!I18="NA"),"",Net!I18)</f>
        <v>2016</v>
      </c>
      <c r="J18">
        <f>IF(OR(Net!J18&lt;0,Net!J18="NA"),"",Net!J18)</f>
        <v>79</v>
      </c>
      <c r="K18">
        <f>IF(OR(Net!K18&lt;0,Net!K18="NA"),"",Net!K18)</f>
        <v>180</v>
      </c>
      <c r="L18">
        <f>IF(OR(Net!L18&lt;0,Net!L18="NA"),"",Net!L18)</f>
        <v>110</v>
      </c>
      <c r="M18">
        <f>IF(OR(Net!M18&lt;0,Net!M18="NA"),"",Net!M18)</f>
        <v>189</v>
      </c>
      <c r="N18">
        <f>IF(OR(Net!N18&lt;0,Net!N18="NA"),"",Net!N18)</f>
        <v>2051</v>
      </c>
      <c r="O18">
        <f>IF(OR(Net!O18&lt;0,Net!O18="NA"),"",Net!O18)</f>
        <v>122</v>
      </c>
      <c r="P18">
        <f>IF(OR(Net!P18&lt;0,Net!P18="NA"),"",Net!P18)</f>
        <v>1567</v>
      </c>
      <c r="Q18" t="str">
        <f>IF(OR(Net!Q18&lt;0,Net!Q18="NA"),"",Net!Q18)</f>
        <v/>
      </c>
      <c r="R18">
        <f>IF(OR(Net!R18&lt;0,Net!R18="NA"),"",Net!R18)</f>
        <v>0</v>
      </c>
      <c r="S18">
        <f>IF(OR(Net!S18&lt;0,Net!S18="NA"),"",Net!S18)</f>
        <v>138053</v>
      </c>
      <c r="T18">
        <f>IF(OR(Net!T18&lt;0,Net!T18="NA"),"",Net!T18)</f>
        <v>166</v>
      </c>
      <c r="U18">
        <f>IF(OR(Net!U18&lt;0,Net!U18="NA"),"",Net!U18)</f>
        <v>27616</v>
      </c>
      <c r="V18">
        <f t="shared" si="0"/>
        <v>200511</v>
      </c>
      <c r="W18">
        <v>1145</v>
      </c>
    </row>
    <row r="19" spans="1:23" ht="15" customHeight="1" x14ac:dyDescent="0.35">
      <c r="A19" s="16"/>
      <c r="B19" s="2" t="s">
        <v>16</v>
      </c>
      <c r="C19" t="str">
        <f>IF(OR(Net!C19&lt;0,Net!C19="NA"),"",Net!C19)</f>
        <v/>
      </c>
      <c r="D19" t="str">
        <f>IF(OR(Net!D19&lt;0,Net!D19="NA"),"",Net!D19)</f>
        <v/>
      </c>
      <c r="E19" t="str">
        <f>IF(OR(Net!E19&lt;0,Net!E19="NA"),"",Net!E19)</f>
        <v/>
      </c>
      <c r="F19" t="str">
        <f>IF(OR(Net!F19&lt;0,Net!F19="NA"),"",Net!F19)</f>
        <v/>
      </c>
      <c r="G19" t="str">
        <f>IF(OR(Net!G19&lt;0,Net!G19="NA"),"",Net!G19)</f>
        <v/>
      </c>
      <c r="H19" t="str">
        <f>IF(OR(Net!H19&lt;0,Net!H19="NA"),"",Net!H19)</f>
        <v/>
      </c>
      <c r="I19" t="str">
        <f>IF(OR(Net!I19&lt;0,Net!I19="NA"),"",Net!I19)</f>
        <v/>
      </c>
      <c r="J19" t="str">
        <f>IF(OR(Net!J19&lt;0,Net!J19="NA"),"",Net!J19)</f>
        <v/>
      </c>
      <c r="K19" t="str">
        <f>IF(OR(Net!K19&lt;0,Net!K19="NA"),"",Net!K19)</f>
        <v/>
      </c>
      <c r="L19" t="str">
        <f>IF(OR(Net!L19&lt;0,Net!L19="NA"),"",Net!L19)</f>
        <v/>
      </c>
      <c r="M19" t="str">
        <f>IF(OR(Net!M19&lt;0,Net!M19="NA"),"",Net!M19)</f>
        <v/>
      </c>
      <c r="N19" t="str">
        <f>IF(OR(Net!N19&lt;0,Net!N19="NA"),"",Net!N19)</f>
        <v/>
      </c>
      <c r="O19" t="str">
        <f>IF(OR(Net!O19&lt;0,Net!O19="NA"),"",Net!O19)</f>
        <v/>
      </c>
      <c r="P19" t="str">
        <f>IF(OR(Net!P19&lt;0,Net!P19="NA"),"",Net!P19)</f>
        <v/>
      </c>
      <c r="Q19" t="str">
        <f>IF(OR(Net!Q19&lt;0,Net!Q19="NA"),"",Net!Q19)</f>
        <v/>
      </c>
      <c r="R19" t="str">
        <f>IF(OR(Net!R19&lt;0,Net!R19="NA"),"",Net!R19)</f>
        <v/>
      </c>
      <c r="S19">
        <f>IF(OR(Net!S19&lt;0,Net!S19="NA"),"",Net!S19)</f>
        <v>0</v>
      </c>
      <c r="T19" t="str">
        <f>IF(OR(Net!T19&lt;0,Net!T19="NA"),"",Net!T19)</f>
        <v/>
      </c>
      <c r="U19" t="str">
        <f>IF(OR(Net!U19&lt;0,Net!U19="NA"),"",Net!U19)</f>
        <v/>
      </c>
      <c r="V19">
        <f t="shared" si="0"/>
        <v>0</v>
      </c>
      <c r="W19">
        <v>6502589</v>
      </c>
    </row>
    <row r="20" spans="1:23" ht="15" customHeight="1" x14ac:dyDescent="0.35">
      <c r="A20" s="16"/>
      <c r="B20" s="2" t="s">
        <v>17</v>
      </c>
      <c r="C20">
        <f>IF(OR(Net!C20&lt;0,Net!C20="NA"),"",Net!C20)</f>
        <v>122347</v>
      </c>
      <c r="D20" t="str">
        <f>IF(OR(Net!D20&lt;0,Net!D20="NA"),"",Net!D20)</f>
        <v/>
      </c>
      <c r="E20">
        <f>IF(OR(Net!E20&lt;0,Net!E20="NA"),"",Net!E20)</f>
        <v>22936</v>
      </c>
      <c r="F20">
        <f>IF(OR(Net!F20&lt;0,Net!F20="NA"),"",Net!F20)</f>
        <v>3872</v>
      </c>
      <c r="G20">
        <f>IF(OR(Net!G20&lt;0,Net!G20="NA"),"",Net!G20)</f>
        <v>1393</v>
      </c>
      <c r="H20">
        <f>IF(OR(Net!H20&lt;0,Net!H20="NA"),"",Net!H20)</f>
        <v>360</v>
      </c>
      <c r="I20">
        <f>IF(OR(Net!I20&lt;0,Net!I20="NA"),"",Net!I20)</f>
        <v>252</v>
      </c>
      <c r="J20">
        <f>IF(OR(Net!J20&lt;0,Net!J20="NA"),"",Net!J20)</f>
        <v>320</v>
      </c>
      <c r="K20">
        <f>IF(OR(Net!K20&lt;0,Net!K20="NA"),"",Net!K20)</f>
        <v>120</v>
      </c>
      <c r="L20">
        <f>IF(OR(Net!L20&lt;0,Net!L20="NA"),"",Net!L20)</f>
        <v>95</v>
      </c>
      <c r="M20">
        <f>IF(OR(Net!M20&lt;0,Net!M20="NA"),"",Net!M20)</f>
        <v>51</v>
      </c>
      <c r="N20">
        <f>IF(OR(Net!N20&lt;0,Net!N20="NA"),"",Net!N20)</f>
        <v>394</v>
      </c>
      <c r="O20">
        <f>IF(OR(Net!O20&lt;0,Net!O20="NA"),"",Net!O20)</f>
        <v>11</v>
      </c>
      <c r="P20">
        <f>IF(OR(Net!P20&lt;0,Net!P20="NA"),"",Net!P20)</f>
        <v>147</v>
      </c>
      <c r="Q20">
        <f>IF(OR(Net!Q20&lt;0,Net!Q20="NA"),"",Net!Q20)</f>
        <v>2052</v>
      </c>
      <c r="R20" t="str">
        <f>IF(OR(Net!R20&lt;0,Net!R20="NA"),"",Net!R20)</f>
        <v/>
      </c>
      <c r="S20">
        <f>IF(OR(Net!S20&lt;0,Net!S20="NA"),"",Net!S20)</f>
        <v>19241</v>
      </c>
      <c r="T20">
        <f>IF(OR(Net!T20&lt;0,Net!T20="NA"),"",Net!T20)</f>
        <v>0</v>
      </c>
      <c r="U20">
        <f>IF(OR(Net!U20&lt;0,Net!U20="NA"),"",Net!U20)</f>
        <v>5303</v>
      </c>
      <c r="V20">
        <f t="shared" si="0"/>
        <v>178894</v>
      </c>
      <c r="W20">
        <v>10345</v>
      </c>
    </row>
    <row r="21" spans="1:23" x14ac:dyDescent="0.35">
      <c r="A21" s="16"/>
      <c r="B21" s="2" t="s">
        <v>18</v>
      </c>
      <c r="C21" t="str">
        <f>IF(OR(Net!C21&lt;0,Net!C21="NA"),"",Net!C21)</f>
        <v/>
      </c>
      <c r="D21" t="str">
        <f>IF(OR(Net!D21&lt;0,Net!D21="NA"),"",Net!D21)</f>
        <v/>
      </c>
      <c r="E21" t="str">
        <f>IF(OR(Net!E21&lt;0,Net!E21="NA"),"",Net!E21)</f>
        <v/>
      </c>
      <c r="F21">
        <f>IF(OR(Net!F21&lt;0,Net!F21="NA"),"",Net!F21)</f>
        <v>2358</v>
      </c>
      <c r="G21" t="str">
        <f>IF(OR(Net!G21&lt;0,Net!G21="NA"),"",Net!G21)</f>
        <v/>
      </c>
      <c r="H21" t="str">
        <f>IF(OR(Net!H21&lt;0,Net!H21="NA"),"",Net!H21)</f>
        <v/>
      </c>
      <c r="I21" t="str">
        <f>IF(OR(Net!I21&lt;0,Net!I21="NA"),"",Net!I21)</f>
        <v/>
      </c>
      <c r="J21" t="str">
        <f>IF(OR(Net!J21&lt;0,Net!J21="NA"),"",Net!J21)</f>
        <v/>
      </c>
      <c r="K21" t="str">
        <f>IF(OR(Net!K21&lt;0,Net!K21="NA"),"",Net!K21)</f>
        <v/>
      </c>
      <c r="L21" t="str">
        <f>IF(OR(Net!L21&lt;0,Net!L21="NA"),"",Net!L21)</f>
        <v/>
      </c>
      <c r="M21" t="str">
        <f>IF(OR(Net!M21&lt;0,Net!M21="NA"),"",Net!M21)</f>
        <v/>
      </c>
      <c r="N21" t="str">
        <f>IF(OR(Net!N21&lt;0,Net!N21="NA"),"",Net!N21)</f>
        <v/>
      </c>
      <c r="O21" t="str">
        <f>IF(OR(Net!O21&lt;0,Net!O21="NA"),"",Net!O21)</f>
        <v/>
      </c>
      <c r="P21" t="str">
        <f>IF(OR(Net!P21&lt;0,Net!P21="NA"),"",Net!P21)</f>
        <v/>
      </c>
      <c r="Q21" t="str">
        <f>IF(OR(Net!Q21&lt;0,Net!Q21="NA"),"",Net!Q21)</f>
        <v/>
      </c>
      <c r="R21" t="str">
        <f>IF(OR(Net!R21&lt;0,Net!R21="NA"),"",Net!R21)</f>
        <v/>
      </c>
      <c r="S21">
        <f>IF(OR(Net!S21&lt;0,Net!S21="NA"),"",Net!S21)</f>
        <v>30480</v>
      </c>
      <c r="T21" t="str">
        <f>IF(OR(Net!T21&lt;0,Net!T21="NA"),"",Net!T21)</f>
        <v/>
      </c>
      <c r="U21">
        <f>IF(OR(Net!U21&lt;0,Net!U21="NA"),"",Net!U21)</f>
        <v>0</v>
      </c>
      <c r="V21">
        <f t="shared" si="0"/>
        <v>32838</v>
      </c>
      <c r="W21">
        <v>617100</v>
      </c>
    </row>
    <row r="22" spans="1:23" x14ac:dyDescent="0.35">
      <c r="B22" s="13" t="s">
        <v>25</v>
      </c>
      <c r="C22">
        <f>SUM(C3:C21)</f>
        <v>660924</v>
      </c>
      <c r="D22">
        <f t="shared" ref="D22:U22" si="1">SUM(D3:D21)</f>
        <v>10994</v>
      </c>
      <c r="E22">
        <f t="shared" si="1"/>
        <v>50217</v>
      </c>
      <c r="F22">
        <f t="shared" si="1"/>
        <v>131174</v>
      </c>
      <c r="G22">
        <f t="shared" si="1"/>
        <v>6436</v>
      </c>
      <c r="H22">
        <f t="shared" si="1"/>
        <v>665</v>
      </c>
      <c r="I22">
        <f t="shared" si="1"/>
        <v>164565</v>
      </c>
      <c r="J22">
        <f t="shared" si="1"/>
        <v>33297</v>
      </c>
      <c r="K22">
        <f t="shared" si="1"/>
        <v>894</v>
      </c>
      <c r="L22">
        <f t="shared" si="1"/>
        <v>233497</v>
      </c>
      <c r="M22">
        <f t="shared" si="1"/>
        <v>232612</v>
      </c>
      <c r="N22">
        <f t="shared" si="1"/>
        <v>403406</v>
      </c>
      <c r="O22">
        <f t="shared" si="1"/>
        <v>9165</v>
      </c>
      <c r="P22">
        <f t="shared" si="1"/>
        <v>22595</v>
      </c>
      <c r="Q22">
        <f t="shared" si="1"/>
        <v>96601</v>
      </c>
      <c r="R22">
        <f t="shared" si="1"/>
        <v>1145</v>
      </c>
      <c r="S22">
        <f t="shared" si="1"/>
        <v>6502589</v>
      </c>
      <c r="T22">
        <f t="shared" si="1"/>
        <v>10345</v>
      </c>
      <c r="U22">
        <f t="shared" si="1"/>
        <v>617100</v>
      </c>
    </row>
    <row r="23" spans="1:23" ht="15.65" customHeight="1" x14ac:dyDescent="0.35"/>
    <row r="25" spans="1:23" x14ac:dyDescent="0.35">
      <c r="T25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45B-D061-4B33-82B0-FF6F9E9A0DCB}">
  <dimension ref="A1:U25"/>
  <sheetViews>
    <sheetView zoomScale="55" zoomScaleNormal="55" workbookViewId="0">
      <selection activeCell="Q26" sqref="Q26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3" width="12.7265625" customWidth="1"/>
    <col min="4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4" t="s">
        <v>20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7.5" customHeight="1" x14ac:dyDescent="0.35">
      <c r="A3" s="15" t="s">
        <v>21</v>
      </c>
      <c r="B3" s="2" t="s">
        <v>0</v>
      </c>
      <c r="C3" s="1" t="str">
        <f ca="1">IF(OR(Net_PositivesOnly!C3="",Net_PositivesOnly!C3=0,Net_PositivesOnly!C3&lt;10000),"",
Net_PositivesOnly!C3/OFFSET(Country_Pop!$C$1,MATCH(Per_1000!C$2,Country_Pop!$A:$A,0)-1,0))</f>
        <v/>
      </c>
      <c r="D3" s="1" t="str">
        <f ca="1">IF(OR(Net_PositivesOnly!D3="",Net_PositivesOnly!D3=0,Net_PositivesOnly!D3&lt;10000),"",
Net_PositivesOnly!D3/OFFSET(Country_Pop!$C$1,MATCH(Per_1000!D$2,Country_Pop!$A:$A,0)-1,0))</f>
        <v/>
      </c>
      <c r="E3" s="1" t="str">
        <f ca="1">IF(OR(Net_PositivesOnly!E3="",Net_PositivesOnly!E3=0,Net_PositivesOnly!E3&lt;10000),"",
Net_PositivesOnly!E3/OFFSET(Country_Pop!$C$1,MATCH(Per_1000!E$2,Country_Pop!$A:$A,0)-1,0))</f>
        <v/>
      </c>
      <c r="F3" s="1" t="str">
        <f ca="1">IF(OR(Net_PositivesOnly!F3="",Net_PositivesOnly!F3=0,Net_PositivesOnly!F3&lt;10000),"",
Net_PositivesOnly!F3/OFFSET(Country_Pop!$C$1,MATCH(Per_1000!F$2,Country_Pop!$A:$A,0)-1,0))</f>
        <v/>
      </c>
      <c r="G3" s="1" t="str">
        <f ca="1">IF(OR(Net_PositivesOnly!G3="",Net_PositivesOnly!G3=0,Net_PositivesOnly!G3&lt;10000),"",
Net_PositivesOnly!G3/OFFSET(Country_Pop!$C$1,MATCH(Per_1000!G$2,Country_Pop!$A:$A,0)-1,0))</f>
        <v/>
      </c>
      <c r="H3" s="1" t="str">
        <f ca="1">IF(OR(Net_PositivesOnly!H3="",Net_PositivesOnly!H3=0,Net_PositivesOnly!H3&lt;10000),"",
Net_PositivesOnly!H3/OFFSET(Country_Pop!$C$1,MATCH(Per_1000!H$2,Country_Pop!$A:$A,0)-1,0))</f>
        <v/>
      </c>
      <c r="I3" s="1" t="str">
        <f ca="1">IF(OR(Net_PositivesOnly!I3="",Net_PositivesOnly!I3=0,Net_PositivesOnly!I3&lt;10000),"",
Net_PositivesOnly!I3/OFFSET(Country_Pop!$C$1,MATCH(Per_1000!I$2,Country_Pop!$A:$A,0)-1,0))</f>
        <v/>
      </c>
      <c r="J3" s="1" t="str">
        <f ca="1">IF(OR(Net_PositivesOnly!J3="",Net_PositivesOnly!J3=0,Net_PositivesOnly!J3&lt;10000),"",
Net_PositivesOnly!J3/OFFSET(Country_Pop!$C$1,MATCH(Per_1000!J$2,Country_Pop!$A:$A,0)-1,0))</f>
        <v/>
      </c>
      <c r="K3" s="1" t="str">
        <f ca="1">IF(OR(Net_PositivesOnly!K3="",Net_PositivesOnly!K3=0,Net_PositivesOnly!K3&lt;10000),"",
Net_PositivesOnly!K3/OFFSET(Country_Pop!$C$1,MATCH(Per_1000!K$2,Country_Pop!$A:$A,0)-1,0))</f>
        <v/>
      </c>
      <c r="L3" s="1" t="str">
        <f ca="1">IF(OR(Net_PositivesOnly!L3="",Net_PositivesOnly!L3=0,Net_PositivesOnly!L3&lt;10000),"",
Net_PositivesOnly!L3/OFFSET(Country_Pop!$C$1,MATCH(Per_1000!L$2,Country_Pop!$A:$A,0)-1,0))</f>
        <v/>
      </c>
      <c r="M3" s="1" t="str">
        <f ca="1">IF(OR(Net_PositivesOnly!M3="",Net_PositivesOnly!M3=0,Net_PositivesOnly!M3&lt;10000),"",
Net_PositivesOnly!M3/OFFSET(Country_Pop!$C$1,MATCH(Per_1000!M$2,Country_Pop!$A:$A,0)-1,0))</f>
        <v/>
      </c>
      <c r="N3" s="1" t="str">
        <f ca="1">IF(OR(Net_PositivesOnly!N3="",Net_PositivesOnly!N3=0,Net_PositivesOnly!N3&lt;10000),"",
Net_PositivesOnly!N3/OFFSET(Country_Pop!$C$1,MATCH(Per_1000!N$2,Country_Pop!$A:$A,0)-1,0))</f>
        <v/>
      </c>
      <c r="O3" s="1" t="str">
        <f ca="1">IF(OR(Net_PositivesOnly!O3="",Net_PositivesOnly!O3=0,Net_PositivesOnly!O3&lt;10000),"",
Net_PositivesOnly!O3/OFFSET(Country_Pop!$C$1,MATCH(Per_1000!O$2,Country_Pop!$A:$A,0)-1,0))</f>
        <v/>
      </c>
      <c r="P3" s="1" t="str">
        <f ca="1">IF(OR(Net_PositivesOnly!P3="",Net_PositivesOnly!P3=0,Net_PositivesOnly!P3&lt;10000),"",
Net_PositivesOnly!P3/OFFSET(Country_Pop!$C$1,MATCH(Per_1000!P$2,Country_Pop!$A:$A,0)-1,0))</f>
        <v/>
      </c>
      <c r="Q3" s="1" t="str">
        <f ca="1">IF(OR(Net_PositivesOnly!Q3="",Net_PositivesOnly!Q3=0,Net_PositivesOnly!Q3&lt;10000),"",
Net_PositivesOnly!Q3/OFFSET(Country_Pop!$C$1,MATCH(Per_1000!Q$2,Country_Pop!$A:$A,0)-1,0))</f>
        <v/>
      </c>
      <c r="R3" s="1" t="str">
        <f ca="1">IF(OR(Net_PositivesOnly!R3="",Net_PositivesOnly!R3=0,Net_PositivesOnly!R3&lt;10000),"",
Net_PositivesOnly!R3/OFFSET(Country_Pop!$C$1,MATCH(Per_1000!R$2,Country_Pop!$A:$A,0)-1,0))</f>
        <v/>
      </c>
      <c r="S3" s="1">
        <f ca="1">IF(OR(Net_PositivesOnly!S3="",Net_PositivesOnly!S3=0,Net_PositivesOnly!S3&lt;10000),"",
Net_PositivesOnly!S3/OFFSET(Country_Pop!$C$1,MATCH(Per_1000!S$2,Country_Pop!$A:$A,0)-1,0))</f>
        <v>0.33199727459150769</v>
      </c>
      <c r="T3" s="1" t="str">
        <f ca="1">IF(OR(Net_PositivesOnly!T3="",Net_PositivesOnly!T3=0,Net_PositivesOnly!T3&lt;10000),"",
Net_PositivesOnly!T3/OFFSET(Country_Pop!$C$1,MATCH(Per_1000!T$2,Country_Pop!$A:$A,0)-1,0))</f>
        <v/>
      </c>
      <c r="U3" s="1" t="str">
        <f ca="1">IF(OR(Net_PositivesOnly!U3="",Net_PositivesOnly!U3=0,Net_PositivesOnly!U3&lt;10000),"",
Net_PositivesOnly!U3/OFFSET(Country_Pop!$C$1,MATCH(Per_1000!U$2,Country_Pop!$A:$A,0)-1,0))</f>
        <v/>
      </c>
    </row>
    <row r="4" spans="1:21" ht="15" customHeight="1" x14ac:dyDescent="0.35">
      <c r="A4" s="16"/>
      <c r="B4" s="2" t="s">
        <v>1</v>
      </c>
      <c r="C4" s="1">
        <f ca="1">IF(OR(Net_PositivesOnly!C4="",Net_PositivesOnly!C4=0,Net_PositivesOnly!C4&lt;10000),"",
Net_PositivesOnly!C4/OFFSET(Country_Pop!$C$1,MATCH(Per_1000!C$2,Country_Pop!$A:$A,0)-1,0))</f>
        <v>3.8256008841155333</v>
      </c>
      <c r="D4" s="1" t="str">
        <f ca="1">IF(OR(Net_PositivesOnly!D4="",Net_PositivesOnly!D4=0,Net_PositivesOnly!D4&lt;10000),"",
Net_PositivesOnly!D4/OFFSET(Country_Pop!$C$1,MATCH(Per_1000!D$2,Country_Pop!$A:$A,0)-1,0))</f>
        <v/>
      </c>
      <c r="E4" s="1" t="str">
        <f ca="1">IF(OR(Net_PositivesOnly!E4="",Net_PositivesOnly!E4=0,Net_PositivesOnly!E4&lt;10000),"",
Net_PositivesOnly!E4/OFFSET(Country_Pop!$C$1,MATCH(Per_1000!E$2,Country_Pop!$A:$A,0)-1,0))</f>
        <v/>
      </c>
      <c r="F4" s="1" t="str">
        <f ca="1">IF(OR(Net_PositivesOnly!F4="",Net_PositivesOnly!F4=0,Net_PositivesOnly!F4&lt;10000),"",
Net_PositivesOnly!F4/OFFSET(Country_Pop!$C$1,MATCH(Per_1000!F$2,Country_Pop!$A:$A,0)-1,0))</f>
        <v/>
      </c>
      <c r="G4" s="1" t="str">
        <f ca="1">IF(OR(Net_PositivesOnly!G4="",Net_PositivesOnly!G4=0,Net_PositivesOnly!G4&lt;10000),"",
Net_PositivesOnly!G4/OFFSET(Country_Pop!$C$1,MATCH(Per_1000!G$2,Country_Pop!$A:$A,0)-1,0))</f>
        <v/>
      </c>
      <c r="H4" s="1" t="str">
        <f ca="1">IF(OR(Net_PositivesOnly!H4="",Net_PositivesOnly!H4=0,Net_PositivesOnly!H4&lt;10000),"",
Net_PositivesOnly!H4/OFFSET(Country_Pop!$C$1,MATCH(Per_1000!H$2,Country_Pop!$A:$A,0)-1,0))</f>
        <v/>
      </c>
      <c r="I4" s="1" t="str">
        <f ca="1">IF(OR(Net_PositivesOnly!I4="",Net_PositivesOnly!I4=0,Net_PositivesOnly!I4&lt;10000),"",
Net_PositivesOnly!I4/OFFSET(Country_Pop!$C$1,MATCH(Per_1000!I$2,Country_Pop!$A:$A,0)-1,0))</f>
        <v/>
      </c>
      <c r="J4" s="1" t="str">
        <f ca="1">IF(OR(Net_PositivesOnly!J4="",Net_PositivesOnly!J4=0,Net_PositivesOnly!J4&lt;10000),"",
Net_PositivesOnly!J4/OFFSET(Country_Pop!$C$1,MATCH(Per_1000!J$2,Country_Pop!$A:$A,0)-1,0))</f>
        <v/>
      </c>
      <c r="K4" s="1" t="str">
        <f ca="1">IF(OR(Net_PositivesOnly!K4="",Net_PositivesOnly!K4=0,Net_PositivesOnly!K4&lt;10000),"",
Net_PositivesOnly!K4/OFFSET(Country_Pop!$C$1,MATCH(Per_1000!K$2,Country_Pop!$A:$A,0)-1,0))</f>
        <v/>
      </c>
      <c r="L4" s="1" t="str">
        <f ca="1">IF(OR(Net_PositivesOnly!L4="",Net_PositivesOnly!L4=0,Net_PositivesOnly!L4&lt;10000),"",
Net_PositivesOnly!L4/OFFSET(Country_Pop!$C$1,MATCH(Per_1000!L$2,Country_Pop!$A:$A,0)-1,0))</f>
        <v/>
      </c>
      <c r="M4" s="1" t="str">
        <f ca="1">IF(OR(Net_PositivesOnly!M4="",Net_PositivesOnly!M4=0,Net_PositivesOnly!M4&lt;10000),"",
Net_PositivesOnly!M4/OFFSET(Country_Pop!$C$1,MATCH(Per_1000!M$2,Country_Pop!$A:$A,0)-1,0))</f>
        <v/>
      </c>
      <c r="N4" s="1" t="str">
        <f ca="1">IF(OR(Net_PositivesOnly!N4="",Net_PositivesOnly!N4=0,Net_PositivesOnly!N4&lt;10000),"",
Net_PositivesOnly!N4/OFFSET(Country_Pop!$C$1,MATCH(Per_1000!N$2,Country_Pop!$A:$A,0)-1,0))</f>
        <v/>
      </c>
      <c r="O4" s="1" t="str">
        <f ca="1">IF(OR(Net_PositivesOnly!O4="",Net_PositivesOnly!O4=0,Net_PositivesOnly!O4&lt;10000),"",
Net_PositivesOnly!O4/OFFSET(Country_Pop!$C$1,MATCH(Per_1000!O$2,Country_Pop!$A:$A,0)-1,0))</f>
        <v/>
      </c>
      <c r="P4" s="1" t="str">
        <f ca="1">IF(OR(Net_PositivesOnly!P4="",Net_PositivesOnly!P4=0,Net_PositivesOnly!P4&lt;10000),"",
Net_PositivesOnly!P4/OFFSET(Country_Pop!$C$1,MATCH(Per_1000!P$2,Country_Pop!$A:$A,0)-1,0))</f>
        <v/>
      </c>
      <c r="Q4" s="1" t="str">
        <f ca="1">IF(OR(Net_PositivesOnly!Q4="",Net_PositivesOnly!Q4=0,Net_PositivesOnly!Q4&lt;10000),"",
Net_PositivesOnly!Q4/OFFSET(Country_Pop!$C$1,MATCH(Per_1000!Q$2,Country_Pop!$A:$A,0)-1,0))</f>
        <v/>
      </c>
      <c r="R4" s="1" t="str">
        <f ca="1">IF(OR(Net_PositivesOnly!R4="",Net_PositivesOnly!R4=0,Net_PositivesOnly!R4&lt;10000),"",
Net_PositivesOnly!R4/OFFSET(Country_Pop!$C$1,MATCH(Per_1000!R$2,Country_Pop!$A:$A,0)-1,0))</f>
        <v/>
      </c>
      <c r="S4" s="1">
        <f ca="1">IF(OR(Net_PositivesOnly!S4="",Net_PositivesOnly!S4=0,Net_PositivesOnly!S4&lt;10000),"",
Net_PositivesOnly!S4/OFFSET(Country_Pop!$C$1,MATCH(Per_1000!S$2,Country_Pop!$A:$A,0)-1,0))</f>
        <v>0.11348564357153607</v>
      </c>
      <c r="T4" s="1">
        <f ca="1">IF(OR(Net_PositivesOnly!T4="",Net_PositivesOnly!T4=0,Net_PositivesOnly!T4&lt;10000),"",
Net_PositivesOnly!T4/OFFSET(Country_Pop!$C$1,MATCH(Per_1000!T$2,Country_Pop!$A:$A,0)-1,0))</f>
        <v>3.2656274663042679</v>
      </c>
      <c r="U4" s="1" t="str">
        <f ca="1">IF(OR(Net_PositivesOnly!U4="",Net_PositivesOnly!U4=0,Net_PositivesOnly!U4&lt;10000),"",
Net_PositivesOnly!U4/OFFSET(Country_Pop!$C$1,MATCH(Per_1000!U$2,Country_Pop!$A:$A,0)-1,0))</f>
        <v/>
      </c>
    </row>
    <row r="5" spans="1:21" ht="15" customHeight="1" x14ac:dyDescent="0.35">
      <c r="A5" s="16"/>
      <c r="B5" s="2" t="s">
        <v>2</v>
      </c>
      <c r="C5" s="1" t="str">
        <f ca="1">IF(OR(Net_PositivesOnly!C5="",Net_PositivesOnly!C5=0,Net_PositivesOnly!C5&lt;10000),"",
Net_PositivesOnly!C5/OFFSET(Country_Pop!$C$1,MATCH(Per_1000!C$2,Country_Pop!$A:$A,0)-1,0))</f>
        <v/>
      </c>
      <c r="D5" s="1" t="str">
        <f ca="1">IF(OR(Net_PositivesOnly!D5="",Net_PositivesOnly!D5=0,Net_PositivesOnly!D5&lt;10000),"",
Net_PositivesOnly!D5/OFFSET(Country_Pop!$C$1,MATCH(Per_1000!D$2,Country_Pop!$A:$A,0)-1,0))</f>
        <v/>
      </c>
      <c r="E5" s="1" t="str">
        <f ca="1">IF(OR(Net_PositivesOnly!E5="",Net_PositivesOnly!E5=0,Net_PositivesOnly!E5&lt;10000),"",
Net_PositivesOnly!E5/OFFSET(Country_Pop!$C$1,MATCH(Per_1000!E$2,Country_Pop!$A:$A,0)-1,0))</f>
        <v/>
      </c>
      <c r="F5" s="1" t="str">
        <f ca="1">IF(OR(Net_PositivesOnly!F5="",Net_PositivesOnly!F5=0,Net_PositivesOnly!F5&lt;10000),"",
Net_PositivesOnly!F5/OFFSET(Country_Pop!$C$1,MATCH(Per_1000!F$2,Country_Pop!$A:$A,0)-1,0))</f>
        <v/>
      </c>
      <c r="G5" s="1" t="str">
        <f ca="1">IF(OR(Net_PositivesOnly!G5="",Net_PositivesOnly!G5=0,Net_PositivesOnly!G5&lt;10000),"",
Net_PositivesOnly!G5/OFFSET(Country_Pop!$C$1,MATCH(Per_1000!G$2,Country_Pop!$A:$A,0)-1,0))</f>
        <v/>
      </c>
      <c r="H5" s="1" t="str">
        <f ca="1">IF(OR(Net_PositivesOnly!H5="",Net_PositivesOnly!H5=0,Net_PositivesOnly!H5&lt;10000),"",
Net_PositivesOnly!H5/OFFSET(Country_Pop!$C$1,MATCH(Per_1000!H$2,Country_Pop!$A:$A,0)-1,0))</f>
        <v/>
      </c>
      <c r="I5" s="1" t="str">
        <f ca="1">IF(OR(Net_PositivesOnly!I5="",Net_PositivesOnly!I5=0,Net_PositivesOnly!I5&lt;10000),"",
Net_PositivesOnly!I5/OFFSET(Country_Pop!$C$1,MATCH(Per_1000!I$2,Country_Pop!$A:$A,0)-1,0))</f>
        <v/>
      </c>
      <c r="J5" s="1" t="str">
        <f ca="1">IF(OR(Net_PositivesOnly!J5="",Net_PositivesOnly!J5=0,Net_PositivesOnly!J5&lt;10000),"",
Net_PositivesOnly!J5/OFFSET(Country_Pop!$C$1,MATCH(Per_1000!J$2,Country_Pop!$A:$A,0)-1,0))</f>
        <v/>
      </c>
      <c r="K5" s="1" t="str">
        <f ca="1">IF(OR(Net_PositivesOnly!K5="",Net_PositivesOnly!K5=0,Net_PositivesOnly!K5&lt;10000),"",
Net_PositivesOnly!K5/OFFSET(Country_Pop!$C$1,MATCH(Per_1000!K$2,Country_Pop!$A:$A,0)-1,0))</f>
        <v/>
      </c>
      <c r="L5" s="1" t="str">
        <f ca="1">IF(OR(Net_PositivesOnly!L5="",Net_PositivesOnly!L5=0,Net_PositivesOnly!L5&lt;10000),"",
Net_PositivesOnly!L5/OFFSET(Country_Pop!$C$1,MATCH(Per_1000!L$2,Country_Pop!$A:$A,0)-1,0))</f>
        <v/>
      </c>
      <c r="M5" s="1" t="str">
        <f ca="1">IF(OR(Net_PositivesOnly!M5="",Net_PositivesOnly!M5=0,Net_PositivesOnly!M5&lt;10000),"",
Net_PositivesOnly!M5/OFFSET(Country_Pop!$C$1,MATCH(Per_1000!M$2,Country_Pop!$A:$A,0)-1,0))</f>
        <v/>
      </c>
      <c r="N5" s="1" t="str">
        <f ca="1">IF(OR(Net_PositivesOnly!N5="",Net_PositivesOnly!N5=0,Net_PositivesOnly!N5&lt;10000),"",
Net_PositivesOnly!N5/OFFSET(Country_Pop!$C$1,MATCH(Per_1000!N$2,Country_Pop!$A:$A,0)-1,0))</f>
        <v/>
      </c>
      <c r="O5" s="1" t="str">
        <f ca="1">IF(OR(Net_PositivesOnly!O5="",Net_PositivesOnly!O5=0,Net_PositivesOnly!O5&lt;10000),"",
Net_PositivesOnly!O5/OFFSET(Country_Pop!$C$1,MATCH(Per_1000!O$2,Country_Pop!$A:$A,0)-1,0))</f>
        <v/>
      </c>
      <c r="P5" s="1" t="str">
        <f ca="1">IF(OR(Net_PositivesOnly!P5="",Net_PositivesOnly!P5=0,Net_PositivesOnly!P5&lt;10000),"",
Net_PositivesOnly!P5/OFFSET(Country_Pop!$C$1,MATCH(Per_1000!P$2,Country_Pop!$A:$A,0)-1,0))</f>
        <v/>
      </c>
      <c r="Q5" s="1">
        <f ca="1">IF(OR(Net_PositivesOnly!Q5="",Net_PositivesOnly!Q5=0,Net_PositivesOnly!Q5&lt;10000),"",
Net_PositivesOnly!Q5/OFFSET(Country_Pop!$C$1,MATCH(Per_1000!Q$2,Country_Pop!$A:$A,0)-1,0))</f>
        <v>22.162281477554412</v>
      </c>
      <c r="R5" s="1" t="str">
        <f ca="1">IF(OR(Net_PositivesOnly!R5="",Net_PositivesOnly!R5=0,Net_PositivesOnly!R5&lt;10000),"",
Net_PositivesOnly!R5/OFFSET(Country_Pop!$C$1,MATCH(Per_1000!R$2,Country_Pop!$A:$A,0)-1,0))</f>
        <v/>
      </c>
      <c r="S5" s="1">
        <f ca="1">IF(OR(Net_PositivesOnly!S5="",Net_PositivesOnly!S5=0,Net_PositivesOnly!S5&lt;10000),"",
Net_PositivesOnly!S5/OFFSET(Country_Pop!$C$1,MATCH(Per_1000!S$2,Country_Pop!$A:$A,0)-1,0))</f>
        <v>0.28419860919634665</v>
      </c>
      <c r="T5" s="1" t="str">
        <f ca="1">IF(OR(Net_PositivesOnly!T5="",Net_PositivesOnly!T5=0,Net_PositivesOnly!T5&lt;10000),"",
Net_PositivesOnly!T5/OFFSET(Country_Pop!$C$1,MATCH(Per_1000!T$2,Country_Pop!$A:$A,0)-1,0))</f>
        <v/>
      </c>
      <c r="U5" s="1" t="str">
        <f ca="1">IF(OR(Net_PositivesOnly!U5="",Net_PositivesOnly!U5=0,Net_PositivesOnly!U5&lt;10000),"",
Net_PositivesOnly!U5/OFFSET(Country_Pop!$C$1,MATCH(Per_1000!U$2,Country_Pop!$A:$A,0)-1,0))</f>
        <v/>
      </c>
    </row>
    <row r="6" spans="1:21" ht="15" customHeight="1" x14ac:dyDescent="0.35">
      <c r="A6" s="16"/>
      <c r="B6" s="2" t="s">
        <v>3</v>
      </c>
      <c r="C6" s="1" t="str">
        <f ca="1">IF(OR(Net_PositivesOnly!C6="",Net_PositivesOnly!C6=0,Net_PositivesOnly!C6&lt;10000),"",
Net_PositivesOnly!C6/OFFSET(Country_Pop!$C$1,MATCH(Per_1000!C$2,Country_Pop!$A:$A,0)-1,0))</f>
        <v/>
      </c>
      <c r="D6" s="1" t="str">
        <f ca="1">IF(OR(Net_PositivesOnly!D6="",Net_PositivesOnly!D6=0,Net_PositivesOnly!D6&lt;10000),"",
Net_PositivesOnly!D6/OFFSET(Country_Pop!$C$1,MATCH(Per_1000!D$2,Country_Pop!$A:$A,0)-1,0))</f>
        <v/>
      </c>
      <c r="E6" s="1" t="str">
        <f ca="1">IF(OR(Net_PositivesOnly!E6="",Net_PositivesOnly!E6=0,Net_PositivesOnly!E6&lt;10000),"",
Net_PositivesOnly!E6/OFFSET(Country_Pop!$C$1,MATCH(Per_1000!E$2,Country_Pop!$A:$A,0)-1,0))</f>
        <v/>
      </c>
      <c r="F6" s="1" t="str">
        <f ca="1">IF(OR(Net_PositivesOnly!F6="",Net_PositivesOnly!F6=0,Net_PositivesOnly!F6&lt;10000),"",
Net_PositivesOnly!F6/OFFSET(Country_Pop!$C$1,MATCH(Per_1000!F$2,Country_Pop!$A:$A,0)-1,0))</f>
        <v/>
      </c>
      <c r="G6" s="1" t="str">
        <f ca="1">IF(OR(Net_PositivesOnly!G6="",Net_PositivesOnly!G6=0,Net_PositivesOnly!G6&lt;10000),"",
Net_PositivesOnly!G6/OFFSET(Country_Pop!$C$1,MATCH(Per_1000!G$2,Country_Pop!$A:$A,0)-1,0))</f>
        <v/>
      </c>
      <c r="H6" s="1" t="str">
        <f ca="1">IF(OR(Net_PositivesOnly!H6="",Net_PositivesOnly!H6=0,Net_PositivesOnly!H6&lt;10000),"",
Net_PositivesOnly!H6/OFFSET(Country_Pop!$C$1,MATCH(Per_1000!H$2,Country_Pop!$A:$A,0)-1,0))</f>
        <v/>
      </c>
      <c r="I6" s="1" t="str">
        <f ca="1">IF(OR(Net_PositivesOnly!I6="",Net_PositivesOnly!I6=0,Net_PositivesOnly!I6&lt;10000),"",
Net_PositivesOnly!I6/OFFSET(Country_Pop!$C$1,MATCH(Per_1000!I$2,Country_Pop!$A:$A,0)-1,0))</f>
        <v/>
      </c>
      <c r="J6" s="1" t="str">
        <f ca="1">IF(OR(Net_PositivesOnly!J6="",Net_PositivesOnly!J6=0,Net_PositivesOnly!J6&lt;10000),"",
Net_PositivesOnly!J6/OFFSET(Country_Pop!$C$1,MATCH(Per_1000!J$2,Country_Pop!$A:$A,0)-1,0))</f>
        <v/>
      </c>
      <c r="K6" s="1" t="str">
        <f ca="1">IF(OR(Net_PositivesOnly!K6="",Net_PositivesOnly!K6=0,Net_PositivesOnly!K6&lt;10000),"",
Net_PositivesOnly!K6/OFFSET(Country_Pop!$C$1,MATCH(Per_1000!K$2,Country_Pop!$A:$A,0)-1,0))</f>
        <v/>
      </c>
      <c r="L6" s="1" t="str">
        <f ca="1">IF(OR(Net_PositivesOnly!L6="",Net_PositivesOnly!L6=0,Net_PositivesOnly!L6&lt;10000),"",
Net_PositivesOnly!L6/OFFSET(Country_Pop!$C$1,MATCH(Per_1000!L$2,Country_Pop!$A:$A,0)-1,0))</f>
        <v/>
      </c>
      <c r="M6" s="1" t="str">
        <f ca="1">IF(OR(Net_PositivesOnly!M6="",Net_PositivesOnly!M6=0,Net_PositivesOnly!M6&lt;10000),"",
Net_PositivesOnly!M6/OFFSET(Country_Pop!$C$1,MATCH(Per_1000!M$2,Country_Pop!$A:$A,0)-1,0))</f>
        <v/>
      </c>
      <c r="N6" s="1" t="str">
        <f ca="1">IF(OR(Net_PositivesOnly!N6="",Net_PositivesOnly!N6=0,Net_PositivesOnly!N6&lt;10000),"",
Net_PositivesOnly!N6/OFFSET(Country_Pop!$C$1,MATCH(Per_1000!N$2,Country_Pop!$A:$A,0)-1,0))</f>
        <v/>
      </c>
      <c r="O6" s="1" t="str">
        <f ca="1">IF(OR(Net_PositivesOnly!O6="",Net_PositivesOnly!O6=0,Net_PositivesOnly!O6&lt;10000),"",
Net_PositivesOnly!O6/OFFSET(Country_Pop!$C$1,MATCH(Per_1000!O$2,Country_Pop!$A:$A,0)-1,0))</f>
        <v/>
      </c>
      <c r="P6" s="1" t="str">
        <f ca="1">IF(OR(Net_PositivesOnly!P6="",Net_PositivesOnly!P6=0,Net_PositivesOnly!P6&lt;10000),"",
Net_PositivesOnly!P6/OFFSET(Country_Pop!$C$1,MATCH(Per_1000!P$2,Country_Pop!$A:$A,0)-1,0))</f>
        <v/>
      </c>
      <c r="Q6" s="1" t="str">
        <f ca="1">IF(OR(Net_PositivesOnly!Q6="",Net_PositivesOnly!Q6=0,Net_PositivesOnly!Q6&lt;10000),"",
Net_PositivesOnly!Q6/OFFSET(Country_Pop!$C$1,MATCH(Per_1000!Q$2,Country_Pop!$A:$A,0)-1,0))</f>
        <v/>
      </c>
      <c r="R6" s="1" t="str">
        <f ca="1">IF(OR(Net_PositivesOnly!R6="",Net_PositivesOnly!R6=0,Net_PositivesOnly!R6&lt;10000),"",
Net_PositivesOnly!R6/OFFSET(Country_Pop!$C$1,MATCH(Per_1000!R$2,Country_Pop!$A:$A,0)-1,0))</f>
        <v/>
      </c>
      <c r="S6" s="1">
        <f ca="1">IF(OR(Net_PositivesOnly!S6="",Net_PositivesOnly!S6=0,Net_PositivesOnly!S6&lt;10000),"",
Net_PositivesOnly!S6/OFFSET(Country_Pop!$C$1,MATCH(Per_1000!S$2,Country_Pop!$A:$A,0)-1,0))</f>
        <v>2.0338235627662438</v>
      </c>
      <c r="T6" s="1" t="str">
        <f ca="1">IF(OR(Net_PositivesOnly!T6="",Net_PositivesOnly!T6=0,Net_PositivesOnly!T6&lt;10000),"",
Net_PositivesOnly!T6/OFFSET(Country_Pop!$C$1,MATCH(Per_1000!T$2,Country_Pop!$A:$A,0)-1,0))</f>
        <v/>
      </c>
      <c r="U6" s="1" t="str">
        <f ca="1">IF(OR(Net_PositivesOnly!U6="",Net_PositivesOnly!U6=0,Net_PositivesOnly!U6&lt;10000),"",
Net_PositivesOnly!U6/OFFSET(Country_Pop!$C$1,MATCH(Per_1000!U$2,Country_Pop!$A:$A,0)-1,0))</f>
        <v/>
      </c>
    </row>
    <row r="7" spans="1:21" ht="15" customHeight="1" x14ac:dyDescent="0.35">
      <c r="A7" s="16"/>
      <c r="B7" s="2" t="s">
        <v>4</v>
      </c>
      <c r="C7" s="1">
        <f ca="1">IF(OR(Net_PositivesOnly!C7="",Net_PositivesOnly!C7=0,Net_PositivesOnly!C7&lt;10000),"",
Net_PositivesOnly!C7/OFFSET(Country_Pop!$C$1,MATCH(Per_1000!C$2,Country_Pop!$A:$A,0)-1,0))</f>
        <v>5.8258817495474098</v>
      </c>
      <c r="D7" s="1" t="str">
        <f ca="1">IF(OR(Net_PositivesOnly!D7="",Net_PositivesOnly!D7=0,Net_PositivesOnly!D7&lt;10000),"",
Net_PositivesOnly!D7/OFFSET(Country_Pop!$C$1,MATCH(Per_1000!D$2,Country_Pop!$A:$A,0)-1,0))</f>
        <v/>
      </c>
      <c r="E7" s="1">
        <f ca="1">IF(OR(Net_PositivesOnly!E7="",Net_PositivesOnly!E7=0,Net_PositivesOnly!E7&lt;10000),"",
Net_PositivesOnly!E7/OFFSET(Country_Pop!$C$1,MATCH(Per_1000!E$2,Country_Pop!$A:$A,0)-1,0))</f>
        <v>0.12009261728238232</v>
      </c>
      <c r="F7" s="1">
        <f ca="1">IF(OR(Net_PositivesOnly!F7="",Net_PositivesOnly!F7=0,Net_PositivesOnly!F7&lt;10000),"",
Net_PositivesOnly!F7/OFFSET(Country_Pop!$C$1,MATCH(Per_1000!F$2,Country_Pop!$A:$A,0)-1,0))</f>
        <v>0.78968840036442622</v>
      </c>
      <c r="G7" s="1" t="str">
        <f ca="1">IF(OR(Net_PositivesOnly!G7="",Net_PositivesOnly!G7=0,Net_PositivesOnly!G7&lt;10000),"",
Net_PositivesOnly!G7/OFFSET(Country_Pop!$C$1,MATCH(Per_1000!G$2,Country_Pop!$A:$A,0)-1,0))</f>
        <v/>
      </c>
      <c r="H7" s="1" t="str">
        <f ca="1">IF(OR(Net_PositivesOnly!H7="",Net_PositivesOnly!H7=0,Net_PositivesOnly!H7&lt;10000),"",
Net_PositivesOnly!H7/OFFSET(Country_Pop!$C$1,MATCH(Per_1000!H$2,Country_Pop!$A:$A,0)-1,0))</f>
        <v/>
      </c>
      <c r="I7" s="1" t="str">
        <f ca="1">IF(OR(Net_PositivesOnly!I7="",Net_PositivesOnly!I7=0,Net_PositivesOnly!I7&lt;10000),"",
Net_PositivesOnly!I7/OFFSET(Country_Pop!$C$1,MATCH(Per_1000!I$2,Country_Pop!$A:$A,0)-1,0))</f>
        <v/>
      </c>
      <c r="J7" s="1" t="str">
        <f ca="1">IF(OR(Net_PositivesOnly!J7="",Net_PositivesOnly!J7=0,Net_PositivesOnly!J7&lt;10000),"",
Net_PositivesOnly!J7/OFFSET(Country_Pop!$C$1,MATCH(Per_1000!J$2,Country_Pop!$A:$A,0)-1,0))</f>
        <v/>
      </c>
      <c r="K7" s="1" t="str">
        <f ca="1">IF(OR(Net_PositivesOnly!K7="",Net_PositivesOnly!K7=0,Net_PositivesOnly!K7&lt;10000),"",
Net_PositivesOnly!K7/OFFSET(Country_Pop!$C$1,MATCH(Per_1000!K$2,Country_Pop!$A:$A,0)-1,0))</f>
        <v/>
      </c>
      <c r="L7" s="1" t="str">
        <f ca="1">IF(OR(Net_PositivesOnly!L7="",Net_PositivesOnly!L7=0,Net_PositivesOnly!L7&lt;10000),"",
Net_PositivesOnly!L7/OFFSET(Country_Pop!$C$1,MATCH(Per_1000!L$2,Country_Pop!$A:$A,0)-1,0))</f>
        <v/>
      </c>
      <c r="M7" s="1" t="str">
        <f ca="1">IF(OR(Net_PositivesOnly!M7="",Net_PositivesOnly!M7=0,Net_PositivesOnly!M7&lt;10000),"",
Net_PositivesOnly!M7/OFFSET(Country_Pop!$C$1,MATCH(Per_1000!M$2,Country_Pop!$A:$A,0)-1,0))</f>
        <v/>
      </c>
      <c r="N7" s="1" t="str">
        <f ca="1">IF(OR(Net_PositivesOnly!N7="",Net_PositivesOnly!N7=0,Net_PositivesOnly!N7&lt;10000),"",
Net_PositivesOnly!N7/OFFSET(Country_Pop!$C$1,MATCH(Per_1000!N$2,Country_Pop!$A:$A,0)-1,0))</f>
        <v/>
      </c>
      <c r="O7" s="1" t="str">
        <f ca="1">IF(OR(Net_PositivesOnly!O7="",Net_PositivesOnly!O7=0,Net_PositivesOnly!O7&lt;10000),"",
Net_PositivesOnly!O7/OFFSET(Country_Pop!$C$1,MATCH(Per_1000!O$2,Country_Pop!$A:$A,0)-1,0))</f>
        <v/>
      </c>
      <c r="P7" s="1" t="str">
        <f ca="1">IF(OR(Net_PositivesOnly!P7="",Net_PositivesOnly!P7=0,Net_PositivesOnly!P7&lt;10000),"",
Net_PositivesOnly!P7/OFFSET(Country_Pop!$C$1,MATCH(Per_1000!P$2,Country_Pop!$A:$A,0)-1,0))</f>
        <v/>
      </c>
      <c r="Q7" s="1" t="str">
        <f ca="1">IF(OR(Net_PositivesOnly!Q7="",Net_PositivesOnly!Q7=0,Net_PositivesOnly!Q7&lt;10000),"",
Net_PositivesOnly!Q7/OFFSET(Country_Pop!$C$1,MATCH(Per_1000!Q$2,Country_Pop!$A:$A,0)-1,0))</f>
        <v/>
      </c>
      <c r="R7" s="1" t="str">
        <f ca="1">IF(OR(Net_PositivesOnly!R7="",Net_PositivesOnly!R7=0,Net_PositivesOnly!R7&lt;10000),"",
Net_PositivesOnly!R7/OFFSET(Country_Pop!$C$1,MATCH(Per_1000!R$2,Country_Pop!$A:$A,0)-1,0))</f>
        <v/>
      </c>
      <c r="S7" s="1">
        <f ca="1">IF(OR(Net_PositivesOnly!S7="",Net_PositivesOnly!S7=0,Net_PositivesOnly!S7&lt;10000),"",
Net_PositivesOnly!S7/OFFSET(Country_Pop!$C$1,MATCH(Per_1000!S$2,Country_Pop!$A:$A,0)-1,0))</f>
        <v>0.2011620986192213</v>
      </c>
      <c r="T7" s="1" t="str">
        <f ca="1">IF(OR(Net_PositivesOnly!T7="",Net_PositivesOnly!T7=0,Net_PositivesOnly!T7&lt;10000),"",
Net_PositivesOnly!T7/OFFSET(Country_Pop!$C$1,MATCH(Per_1000!T$2,Country_Pop!$A:$A,0)-1,0))</f>
        <v/>
      </c>
      <c r="U7" s="1">
        <f ca="1">IF(OR(Net_PositivesOnly!U7="",Net_PositivesOnly!U7=0,Net_PositivesOnly!U7&lt;10000),"",
Net_PositivesOnly!U7/OFFSET(Country_Pop!$C$1,MATCH(Per_1000!U$2,Country_Pop!$A:$A,0)-1,0))</f>
        <v>1.0049831956825164</v>
      </c>
    </row>
    <row r="8" spans="1:21" ht="15" customHeight="1" x14ac:dyDescent="0.35">
      <c r="A8" s="16"/>
      <c r="B8" s="2" t="s">
        <v>5</v>
      </c>
      <c r="C8" s="1" t="str">
        <f ca="1">IF(OR(Net_PositivesOnly!C8="",Net_PositivesOnly!C8=0,Net_PositivesOnly!C8&lt;10000),"",
Net_PositivesOnly!C8/OFFSET(Country_Pop!$C$1,MATCH(Per_1000!C$2,Country_Pop!$A:$A,0)-1,0))</f>
        <v/>
      </c>
      <c r="D8" s="1" t="str">
        <f ca="1">IF(OR(Net_PositivesOnly!D8="",Net_PositivesOnly!D8=0,Net_PositivesOnly!D8&lt;10000),"",
Net_PositivesOnly!D8/OFFSET(Country_Pop!$C$1,MATCH(Per_1000!D$2,Country_Pop!$A:$A,0)-1,0))</f>
        <v/>
      </c>
      <c r="E8" s="1" t="str">
        <f ca="1">IF(OR(Net_PositivesOnly!E8="",Net_PositivesOnly!E8=0,Net_PositivesOnly!E8&lt;10000),"",
Net_PositivesOnly!E8/OFFSET(Country_Pop!$C$1,MATCH(Per_1000!E$2,Country_Pop!$A:$A,0)-1,0))</f>
        <v/>
      </c>
      <c r="F8" s="1" t="str">
        <f ca="1">IF(OR(Net_PositivesOnly!F8="",Net_PositivesOnly!F8=0,Net_PositivesOnly!F8&lt;10000),"",
Net_PositivesOnly!F8/OFFSET(Country_Pop!$C$1,MATCH(Per_1000!F$2,Country_Pop!$A:$A,0)-1,0))</f>
        <v/>
      </c>
      <c r="G8" s="1" t="str">
        <f ca="1">IF(OR(Net_PositivesOnly!G8="",Net_PositivesOnly!G8=0,Net_PositivesOnly!G8&lt;10000),"",
Net_PositivesOnly!G8/OFFSET(Country_Pop!$C$1,MATCH(Per_1000!G$2,Country_Pop!$A:$A,0)-1,0))</f>
        <v/>
      </c>
      <c r="H8" s="1" t="str">
        <f ca="1">IF(OR(Net_PositivesOnly!H8="",Net_PositivesOnly!H8=0,Net_PositivesOnly!H8&lt;10000),"",
Net_PositivesOnly!H8/OFFSET(Country_Pop!$C$1,MATCH(Per_1000!H$2,Country_Pop!$A:$A,0)-1,0))</f>
        <v/>
      </c>
      <c r="I8" s="1" t="str">
        <f ca="1">IF(OR(Net_PositivesOnly!I8="",Net_PositivesOnly!I8=0,Net_PositivesOnly!I8&lt;10000),"",
Net_PositivesOnly!I8/OFFSET(Country_Pop!$C$1,MATCH(Per_1000!I$2,Country_Pop!$A:$A,0)-1,0))</f>
        <v/>
      </c>
      <c r="J8" s="1">
        <f ca="1">IF(OR(Net_PositivesOnly!J8="",Net_PositivesOnly!J8=0,Net_PositivesOnly!J8&lt;10000),"",
Net_PositivesOnly!J8/OFFSET(Country_Pop!$C$1,MATCH(Per_1000!J$2,Country_Pop!$A:$A,0)-1,0))</f>
        <v>2.7085056702176655</v>
      </c>
      <c r="K8" s="1" t="str">
        <f ca="1">IF(OR(Net_PositivesOnly!K8="",Net_PositivesOnly!K8=0,Net_PositivesOnly!K8&lt;10000),"",
Net_PositivesOnly!K8/OFFSET(Country_Pop!$C$1,MATCH(Per_1000!K$2,Country_Pop!$A:$A,0)-1,0))</f>
        <v/>
      </c>
      <c r="L8" s="1" t="str">
        <f ca="1">IF(OR(Net_PositivesOnly!L8="",Net_PositivesOnly!L8=0,Net_PositivesOnly!L8&lt;10000),"",
Net_PositivesOnly!L8/OFFSET(Country_Pop!$C$1,MATCH(Per_1000!L$2,Country_Pop!$A:$A,0)-1,0))</f>
        <v/>
      </c>
      <c r="M8" s="1" t="str">
        <f ca="1">IF(OR(Net_PositivesOnly!M8="",Net_PositivesOnly!M8=0,Net_PositivesOnly!M8&lt;10000),"",
Net_PositivesOnly!M8/OFFSET(Country_Pop!$C$1,MATCH(Per_1000!M$2,Country_Pop!$A:$A,0)-1,0))</f>
        <v/>
      </c>
      <c r="N8" s="1" t="str">
        <f ca="1">IF(OR(Net_PositivesOnly!N8="",Net_PositivesOnly!N8=0,Net_PositivesOnly!N8&lt;10000),"",
Net_PositivesOnly!N8/OFFSET(Country_Pop!$C$1,MATCH(Per_1000!N$2,Country_Pop!$A:$A,0)-1,0))</f>
        <v/>
      </c>
      <c r="O8" s="1" t="str">
        <f ca="1">IF(OR(Net_PositivesOnly!O8="",Net_PositivesOnly!O8=0,Net_PositivesOnly!O8&lt;10000),"",
Net_PositivesOnly!O8/OFFSET(Country_Pop!$C$1,MATCH(Per_1000!O$2,Country_Pop!$A:$A,0)-1,0))</f>
        <v/>
      </c>
      <c r="P8" s="1">
        <f ca="1">IF(OR(Net_PositivesOnly!P8="",Net_PositivesOnly!P8=0,Net_PositivesOnly!P8&lt;10000),"",
Net_PositivesOnly!P8/OFFSET(Country_Pop!$C$1,MATCH(Per_1000!P$2,Country_Pop!$A:$A,0)-1,0))</f>
        <v>4.8440635075255036</v>
      </c>
      <c r="Q8" s="1" t="str">
        <f ca="1">IF(OR(Net_PositivesOnly!Q8="",Net_PositivesOnly!Q8=0,Net_PositivesOnly!Q8&lt;10000),"",
Net_PositivesOnly!Q8/OFFSET(Country_Pop!$C$1,MATCH(Per_1000!Q$2,Country_Pop!$A:$A,0)-1,0))</f>
        <v/>
      </c>
      <c r="R8" s="1" t="str">
        <f ca="1">IF(OR(Net_PositivesOnly!R8="",Net_PositivesOnly!R8=0,Net_PositivesOnly!R8&lt;10000),"",
Net_PositivesOnly!R8/OFFSET(Country_Pop!$C$1,MATCH(Per_1000!R$2,Country_Pop!$A:$A,0)-1,0))</f>
        <v/>
      </c>
      <c r="S8" s="1">
        <f ca="1">IF(OR(Net_PositivesOnly!S8="",Net_PositivesOnly!S8=0,Net_PositivesOnly!S8&lt;10000),"",
Net_PositivesOnly!S8/OFFSET(Country_Pop!$C$1,MATCH(Per_1000!S$2,Country_Pop!$A:$A,0)-1,0))</f>
        <v>1.0962411612827287</v>
      </c>
      <c r="T8" s="1" t="str">
        <f ca="1">IF(OR(Net_PositivesOnly!T8="",Net_PositivesOnly!T8=0,Net_PositivesOnly!T8&lt;10000),"",
Net_PositivesOnly!T8/OFFSET(Country_Pop!$C$1,MATCH(Per_1000!T$2,Country_Pop!$A:$A,0)-1,0))</f>
        <v/>
      </c>
      <c r="U8" s="1">
        <f ca="1">IF(OR(Net_PositivesOnly!U8="",Net_PositivesOnly!U8=0,Net_PositivesOnly!U8&lt;10000),"",
Net_PositivesOnly!U8/OFFSET(Country_Pop!$C$1,MATCH(Per_1000!U$2,Country_Pop!$A:$A,0)-1,0))</f>
        <v>26.452642223805185</v>
      </c>
    </row>
    <row r="9" spans="1:21" ht="15" customHeight="1" x14ac:dyDescent="0.35">
      <c r="A9" s="16"/>
      <c r="B9" s="2" t="s">
        <v>6</v>
      </c>
      <c r="C9" s="1" t="str">
        <f ca="1">IF(OR(Net_PositivesOnly!C9="",Net_PositivesOnly!C9=0,Net_PositivesOnly!C9&lt;10000),"",
Net_PositivesOnly!C9/OFFSET(Country_Pop!$C$1,MATCH(Per_1000!C$2,Country_Pop!$A:$A,0)-1,0))</f>
        <v/>
      </c>
      <c r="D9" s="1" t="str">
        <f ca="1">IF(OR(Net_PositivesOnly!D9="",Net_PositivesOnly!D9=0,Net_PositivesOnly!D9&lt;10000),"",
Net_PositivesOnly!D9/OFFSET(Country_Pop!$C$1,MATCH(Per_1000!D$2,Country_Pop!$A:$A,0)-1,0))</f>
        <v/>
      </c>
      <c r="E9" s="1" t="str">
        <f ca="1">IF(OR(Net_PositivesOnly!E9="",Net_PositivesOnly!E9=0,Net_PositivesOnly!E9&lt;10000),"",
Net_PositivesOnly!E9/OFFSET(Country_Pop!$C$1,MATCH(Per_1000!E$2,Country_Pop!$A:$A,0)-1,0))</f>
        <v/>
      </c>
      <c r="F9" s="1" t="str">
        <f ca="1">IF(OR(Net_PositivesOnly!F9="",Net_PositivesOnly!F9=0,Net_PositivesOnly!F9&lt;10000),"",
Net_PositivesOnly!F9/OFFSET(Country_Pop!$C$1,MATCH(Per_1000!F$2,Country_Pop!$A:$A,0)-1,0))</f>
        <v/>
      </c>
      <c r="G9" s="1" t="str">
        <f ca="1">IF(OR(Net_PositivesOnly!G9="",Net_PositivesOnly!G9=0,Net_PositivesOnly!G9&lt;10000),"",
Net_PositivesOnly!G9/OFFSET(Country_Pop!$C$1,MATCH(Per_1000!G$2,Country_Pop!$A:$A,0)-1,0))</f>
        <v/>
      </c>
      <c r="H9" s="1" t="str">
        <f ca="1">IF(OR(Net_PositivesOnly!H9="",Net_PositivesOnly!H9=0,Net_PositivesOnly!H9&lt;10000),"",
Net_PositivesOnly!H9/OFFSET(Country_Pop!$C$1,MATCH(Per_1000!H$2,Country_Pop!$A:$A,0)-1,0))</f>
        <v/>
      </c>
      <c r="I9" s="1" t="str">
        <f ca="1">IF(OR(Net_PositivesOnly!I9="",Net_PositivesOnly!I9=0,Net_PositivesOnly!I9&lt;10000),"",
Net_PositivesOnly!I9/OFFSET(Country_Pop!$C$1,MATCH(Per_1000!I$2,Country_Pop!$A:$A,0)-1,0))</f>
        <v/>
      </c>
      <c r="J9" s="1" t="str">
        <f ca="1">IF(OR(Net_PositivesOnly!J9="",Net_PositivesOnly!J9=0,Net_PositivesOnly!J9&lt;10000),"",
Net_PositivesOnly!J9/OFFSET(Country_Pop!$C$1,MATCH(Per_1000!J$2,Country_Pop!$A:$A,0)-1,0))</f>
        <v/>
      </c>
      <c r="K9" s="1" t="str">
        <f ca="1">IF(OR(Net_PositivesOnly!K9="",Net_PositivesOnly!K9=0,Net_PositivesOnly!K9&lt;10000),"",
Net_PositivesOnly!K9/OFFSET(Country_Pop!$C$1,MATCH(Per_1000!K$2,Country_Pop!$A:$A,0)-1,0))</f>
        <v/>
      </c>
      <c r="L9" s="1" t="str">
        <f ca="1">IF(OR(Net_PositivesOnly!L9="",Net_PositivesOnly!L9=0,Net_PositivesOnly!L9&lt;10000),"",
Net_PositivesOnly!L9/OFFSET(Country_Pop!$C$1,MATCH(Per_1000!L$2,Country_Pop!$A:$A,0)-1,0))</f>
        <v/>
      </c>
      <c r="M9" s="1" t="str">
        <f ca="1">IF(OR(Net_PositivesOnly!M9="",Net_PositivesOnly!M9=0,Net_PositivesOnly!M9&lt;10000),"",
Net_PositivesOnly!M9/OFFSET(Country_Pop!$C$1,MATCH(Per_1000!M$2,Country_Pop!$A:$A,0)-1,0))</f>
        <v/>
      </c>
      <c r="N9" s="1" t="str">
        <f ca="1">IF(OR(Net_PositivesOnly!N9="",Net_PositivesOnly!N9=0,Net_PositivesOnly!N9&lt;10000),"",
Net_PositivesOnly!N9/OFFSET(Country_Pop!$C$1,MATCH(Per_1000!N$2,Country_Pop!$A:$A,0)-1,0))</f>
        <v/>
      </c>
      <c r="O9" s="1" t="str">
        <f ca="1">IF(OR(Net_PositivesOnly!O9="",Net_PositivesOnly!O9=0,Net_PositivesOnly!O9&lt;10000),"",
Net_PositivesOnly!O9/OFFSET(Country_Pop!$C$1,MATCH(Per_1000!O$2,Country_Pop!$A:$A,0)-1,0))</f>
        <v/>
      </c>
      <c r="P9" s="1" t="str">
        <f ca="1">IF(OR(Net_PositivesOnly!P9="",Net_PositivesOnly!P9=0,Net_PositivesOnly!P9&lt;10000),"",
Net_PositivesOnly!P9/OFFSET(Country_Pop!$C$1,MATCH(Per_1000!P$2,Country_Pop!$A:$A,0)-1,0))</f>
        <v/>
      </c>
      <c r="Q9" s="1" t="str">
        <f ca="1">IF(OR(Net_PositivesOnly!Q9="",Net_PositivesOnly!Q9=0,Net_PositivesOnly!Q9&lt;10000),"",
Net_PositivesOnly!Q9/OFFSET(Country_Pop!$C$1,MATCH(Per_1000!Q$2,Country_Pop!$A:$A,0)-1,0))</f>
        <v/>
      </c>
      <c r="R9" s="1" t="str">
        <f ca="1">IF(OR(Net_PositivesOnly!R9="",Net_PositivesOnly!R9=0,Net_PositivesOnly!R9&lt;10000),"",
Net_PositivesOnly!R9/OFFSET(Country_Pop!$C$1,MATCH(Per_1000!R$2,Country_Pop!$A:$A,0)-1,0))</f>
        <v/>
      </c>
      <c r="S9" s="1">
        <f ca="1">IF(OR(Net_PositivesOnly!S9="",Net_PositivesOnly!S9=0,Net_PositivesOnly!S9&lt;10000),"",
Net_PositivesOnly!S9/OFFSET(Country_Pop!$C$1,MATCH(Per_1000!S$2,Country_Pop!$A:$A,0)-1,0))</f>
        <v>0.14050105682776814</v>
      </c>
      <c r="T9" s="1" t="str">
        <f ca="1">IF(OR(Net_PositivesOnly!T9="",Net_PositivesOnly!T9=0,Net_PositivesOnly!T9&lt;10000),"",
Net_PositivesOnly!T9/OFFSET(Country_Pop!$C$1,MATCH(Per_1000!T$2,Country_Pop!$A:$A,0)-1,0))</f>
        <v/>
      </c>
      <c r="U9" s="1" t="str">
        <f ca="1">IF(OR(Net_PositivesOnly!U9="",Net_PositivesOnly!U9=0,Net_PositivesOnly!U9&lt;10000),"",
Net_PositivesOnly!U9/OFFSET(Country_Pop!$C$1,MATCH(Per_1000!U$2,Country_Pop!$A:$A,0)-1,0))</f>
        <v/>
      </c>
    </row>
    <row r="10" spans="1:21" ht="15" customHeight="1" x14ac:dyDescent="0.35">
      <c r="A10" s="16"/>
      <c r="B10" s="2" t="s">
        <v>7</v>
      </c>
      <c r="C10" s="1" t="str">
        <f ca="1">IF(OR(Net_PositivesOnly!C10="",Net_PositivesOnly!C10=0,Net_PositivesOnly!C10&lt;10000),"",
Net_PositivesOnly!C10/OFFSET(Country_Pop!$C$1,MATCH(Per_1000!C$2,Country_Pop!$A:$A,0)-1,0))</f>
        <v/>
      </c>
      <c r="D10" s="1" t="str">
        <f ca="1">IF(OR(Net_PositivesOnly!D10="",Net_PositivesOnly!D10=0,Net_PositivesOnly!D10&lt;10000),"",
Net_PositivesOnly!D10/OFFSET(Country_Pop!$C$1,MATCH(Per_1000!D$2,Country_Pop!$A:$A,0)-1,0))</f>
        <v/>
      </c>
      <c r="E10" s="1" t="str">
        <f ca="1">IF(OR(Net_PositivesOnly!E10="",Net_PositivesOnly!E10=0,Net_PositivesOnly!E10&lt;10000),"",
Net_PositivesOnly!E10/OFFSET(Country_Pop!$C$1,MATCH(Per_1000!E$2,Country_Pop!$A:$A,0)-1,0))</f>
        <v/>
      </c>
      <c r="F10" s="1" t="str">
        <f ca="1">IF(OR(Net_PositivesOnly!F10="",Net_PositivesOnly!F10=0,Net_PositivesOnly!F10&lt;10000),"",
Net_PositivesOnly!F10/OFFSET(Country_Pop!$C$1,MATCH(Per_1000!F$2,Country_Pop!$A:$A,0)-1,0))</f>
        <v/>
      </c>
      <c r="G10" s="1" t="str">
        <f ca="1">IF(OR(Net_PositivesOnly!G10="",Net_PositivesOnly!G10=0,Net_PositivesOnly!G10&lt;10000),"",
Net_PositivesOnly!G10/OFFSET(Country_Pop!$C$1,MATCH(Per_1000!G$2,Country_Pop!$A:$A,0)-1,0))</f>
        <v/>
      </c>
      <c r="H10" s="1" t="str">
        <f ca="1">IF(OR(Net_PositivesOnly!H10="",Net_PositivesOnly!H10=0,Net_PositivesOnly!H10&lt;10000),"",
Net_PositivesOnly!H10/OFFSET(Country_Pop!$C$1,MATCH(Per_1000!H$2,Country_Pop!$A:$A,0)-1,0))</f>
        <v/>
      </c>
      <c r="I10" s="1" t="str">
        <f ca="1">IF(OR(Net_PositivesOnly!I10="",Net_PositivesOnly!I10=0,Net_PositivesOnly!I10&lt;10000),"",
Net_PositivesOnly!I10/OFFSET(Country_Pop!$C$1,MATCH(Per_1000!I$2,Country_Pop!$A:$A,0)-1,0))</f>
        <v/>
      </c>
      <c r="J10" s="1" t="str">
        <f ca="1">IF(OR(Net_PositivesOnly!J10="",Net_PositivesOnly!J10=0,Net_PositivesOnly!J10&lt;10000),"",
Net_PositivesOnly!J10/OFFSET(Country_Pop!$C$1,MATCH(Per_1000!J$2,Country_Pop!$A:$A,0)-1,0))</f>
        <v/>
      </c>
      <c r="K10" s="1" t="str">
        <f ca="1">IF(OR(Net_PositivesOnly!K10="",Net_PositivesOnly!K10=0,Net_PositivesOnly!K10&lt;10000),"",
Net_PositivesOnly!K10/OFFSET(Country_Pop!$C$1,MATCH(Per_1000!K$2,Country_Pop!$A:$A,0)-1,0))</f>
        <v/>
      </c>
      <c r="L10" s="1" t="str">
        <f ca="1">IF(OR(Net_PositivesOnly!L10="",Net_PositivesOnly!L10=0,Net_PositivesOnly!L10&lt;10000),"",
Net_PositivesOnly!L10/OFFSET(Country_Pop!$C$1,MATCH(Per_1000!L$2,Country_Pop!$A:$A,0)-1,0))</f>
        <v/>
      </c>
      <c r="M10" s="1" t="str">
        <f ca="1">IF(OR(Net_PositivesOnly!M10="",Net_PositivesOnly!M10=0,Net_PositivesOnly!M10&lt;10000),"",
Net_PositivesOnly!M10/OFFSET(Country_Pop!$C$1,MATCH(Per_1000!M$2,Country_Pop!$A:$A,0)-1,0))</f>
        <v/>
      </c>
      <c r="N10" s="1" t="str">
        <f ca="1">IF(OR(Net_PositivesOnly!N10="",Net_PositivesOnly!N10=0,Net_PositivesOnly!N10&lt;10000),"",
Net_PositivesOnly!N10/OFFSET(Country_Pop!$C$1,MATCH(Per_1000!N$2,Country_Pop!$A:$A,0)-1,0))</f>
        <v/>
      </c>
      <c r="O10" s="1" t="str">
        <f ca="1">IF(OR(Net_PositivesOnly!O10="",Net_PositivesOnly!O10=0,Net_PositivesOnly!O10&lt;10000),"",
Net_PositivesOnly!O10/OFFSET(Country_Pop!$C$1,MATCH(Per_1000!O$2,Country_Pop!$A:$A,0)-1,0))</f>
        <v/>
      </c>
      <c r="P10" s="1" t="str">
        <f ca="1">IF(OR(Net_PositivesOnly!P10="",Net_PositivesOnly!P10=0,Net_PositivesOnly!P10&lt;10000),"",
Net_PositivesOnly!P10/OFFSET(Country_Pop!$C$1,MATCH(Per_1000!P$2,Country_Pop!$A:$A,0)-1,0))</f>
        <v/>
      </c>
      <c r="Q10" s="1" t="str">
        <f ca="1">IF(OR(Net_PositivesOnly!Q10="",Net_PositivesOnly!Q10=0,Net_PositivesOnly!Q10&lt;10000),"",
Net_PositivesOnly!Q10/OFFSET(Country_Pop!$C$1,MATCH(Per_1000!Q$2,Country_Pop!$A:$A,0)-1,0))</f>
        <v/>
      </c>
      <c r="R10" s="1" t="str">
        <f ca="1">IF(OR(Net_PositivesOnly!R10="",Net_PositivesOnly!R10=0,Net_PositivesOnly!R10&lt;10000),"",
Net_PositivesOnly!R10/OFFSET(Country_Pop!$C$1,MATCH(Per_1000!R$2,Country_Pop!$A:$A,0)-1,0))</f>
        <v/>
      </c>
      <c r="S10" s="1">
        <f ca="1">IF(OR(Net_PositivesOnly!S10="",Net_PositivesOnly!S10=0,Net_PositivesOnly!S10&lt;10000),"",
Net_PositivesOnly!S10/OFFSET(Country_Pop!$C$1,MATCH(Per_1000!S$2,Country_Pop!$A:$A,0)-1,0))</f>
        <v>0.54167129907223266</v>
      </c>
      <c r="T10" s="1" t="str">
        <f ca="1">IF(OR(Net_PositivesOnly!T10="",Net_PositivesOnly!T10=0,Net_PositivesOnly!T10&lt;10000),"",
Net_PositivesOnly!T10/OFFSET(Country_Pop!$C$1,MATCH(Per_1000!T$2,Country_Pop!$A:$A,0)-1,0))</f>
        <v/>
      </c>
      <c r="U10" s="1">
        <f ca="1">IF(OR(Net_PositivesOnly!U10="",Net_PositivesOnly!U10=0,Net_PositivesOnly!U10&lt;10000),"",
Net_PositivesOnly!U10/OFFSET(Country_Pop!$C$1,MATCH(Per_1000!U$2,Country_Pop!$A:$A,0)-1,0))</f>
        <v>1.1164735980651503</v>
      </c>
    </row>
    <row r="11" spans="1:21" ht="15" customHeight="1" x14ac:dyDescent="0.35">
      <c r="A11" s="16"/>
      <c r="B11" s="2" t="s">
        <v>8</v>
      </c>
      <c r="C11" s="1" t="str">
        <f ca="1">IF(OR(Net_PositivesOnly!C11="",Net_PositivesOnly!C11=0,Net_PositivesOnly!C11&lt;10000),"",
Net_PositivesOnly!C11/OFFSET(Country_Pop!$C$1,MATCH(Per_1000!C$2,Country_Pop!$A:$A,0)-1,0))</f>
        <v/>
      </c>
      <c r="D11" s="1" t="str">
        <f ca="1">IF(OR(Net_PositivesOnly!D11="",Net_PositivesOnly!D11=0,Net_PositivesOnly!D11&lt;10000),"",
Net_PositivesOnly!D11/OFFSET(Country_Pop!$C$1,MATCH(Per_1000!D$2,Country_Pop!$A:$A,0)-1,0))</f>
        <v/>
      </c>
      <c r="E11" s="1" t="str">
        <f ca="1">IF(OR(Net_PositivesOnly!E11="",Net_PositivesOnly!E11=0,Net_PositivesOnly!E11&lt;10000),"",
Net_PositivesOnly!E11/OFFSET(Country_Pop!$C$1,MATCH(Per_1000!E$2,Country_Pop!$A:$A,0)-1,0))</f>
        <v/>
      </c>
      <c r="F11" s="1">
        <f ca="1">IF(OR(Net_PositivesOnly!F11="",Net_PositivesOnly!F11=0,Net_PositivesOnly!F11&lt;10000),"",
Net_PositivesOnly!F11/OFFSET(Country_Pop!$C$1,MATCH(Per_1000!F$2,Country_Pop!$A:$A,0)-1,0))</f>
        <v>0.95852950195977304</v>
      </c>
      <c r="G11" s="1" t="str">
        <f ca="1">IF(OR(Net_PositivesOnly!G11="",Net_PositivesOnly!G11=0,Net_PositivesOnly!G11&lt;10000),"",
Net_PositivesOnly!G11/OFFSET(Country_Pop!$C$1,MATCH(Per_1000!G$2,Country_Pop!$A:$A,0)-1,0))</f>
        <v/>
      </c>
      <c r="H11" s="1" t="str">
        <f ca="1">IF(OR(Net_PositivesOnly!H11="",Net_PositivesOnly!H11=0,Net_PositivesOnly!H11&lt;10000),"",
Net_PositivesOnly!H11/OFFSET(Country_Pop!$C$1,MATCH(Per_1000!H$2,Country_Pop!$A:$A,0)-1,0))</f>
        <v/>
      </c>
      <c r="I11" s="1">
        <f ca="1">IF(OR(Net_PositivesOnly!I11="",Net_PositivesOnly!I11=0,Net_PositivesOnly!I11&lt;10000),"",
Net_PositivesOnly!I11/OFFSET(Country_Pop!$C$1,MATCH(Per_1000!I$2,Country_Pop!$A:$A,0)-1,0))</f>
        <v>17.319385115758617</v>
      </c>
      <c r="J11" s="1" t="str">
        <f ca="1">IF(OR(Net_PositivesOnly!J11="",Net_PositivesOnly!J11=0,Net_PositivesOnly!J11&lt;10000),"",
Net_PositivesOnly!J11/OFFSET(Country_Pop!$C$1,MATCH(Per_1000!J$2,Country_Pop!$A:$A,0)-1,0))</f>
        <v/>
      </c>
      <c r="K11" s="1" t="str">
        <f ca="1">IF(OR(Net_PositivesOnly!K11="",Net_PositivesOnly!K11=0,Net_PositivesOnly!K11&lt;10000),"",
Net_PositivesOnly!K11/OFFSET(Country_Pop!$C$1,MATCH(Per_1000!K$2,Country_Pop!$A:$A,0)-1,0))</f>
        <v/>
      </c>
      <c r="L11" s="1">
        <f ca="1">IF(OR(Net_PositivesOnly!L11="",Net_PositivesOnly!L11=0,Net_PositivesOnly!L11&lt;10000),"",
Net_PositivesOnly!L11/OFFSET(Country_Pop!$C$1,MATCH(Per_1000!L$2,Country_Pop!$A:$A,0)-1,0))</f>
        <v>25.310331905301112</v>
      </c>
      <c r="M11" s="1">
        <f ca="1">IF(OR(Net_PositivesOnly!M11="",Net_PositivesOnly!M11=0,Net_PositivesOnly!M11&lt;10000),"",
Net_PositivesOnly!M11/OFFSET(Country_Pop!$C$1,MATCH(Per_1000!M$2,Country_Pop!$A:$A,0)-1,0))</f>
        <v>19.884802429963173</v>
      </c>
      <c r="N11" s="1">
        <f ca="1">IF(OR(Net_PositivesOnly!N11="",Net_PositivesOnly!N11=0,Net_PositivesOnly!N11&lt;10000),"",
Net_PositivesOnly!N11/OFFSET(Country_Pop!$C$1,MATCH(Per_1000!N$2,Country_Pop!$A:$A,0)-1,0))</f>
        <v>3.6756960599643231</v>
      </c>
      <c r="O11" s="1" t="str">
        <f ca="1">IF(OR(Net_PositivesOnly!O11="",Net_PositivesOnly!O11=0,Net_PositivesOnly!O11&lt;10000),"",
Net_PositivesOnly!O11/OFFSET(Country_Pop!$C$1,MATCH(Per_1000!O$2,Country_Pop!$A:$A,0)-1,0))</f>
        <v/>
      </c>
      <c r="P11" s="1" t="str">
        <f ca="1">IF(OR(Net_PositivesOnly!P11="",Net_PositivesOnly!P11=0,Net_PositivesOnly!P11&lt;10000),"",
Net_PositivesOnly!P11/OFFSET(Country_Pop!$C$1,MATCH(Per_1000!P$2,Country_Pop!$A:$A,0)-1,0))</f>
        <v/>
      </c>
      <c r="Q11" s="1" t="str">
        <f ca="1">IF(OR(Net_PositivesOnly!Q11="",Net_PositivesOnly!Q11=0,Net_PositivesOnly!Q11&lt;10000),"",
Net_PositivesOnly!Q11/OFFSET(Country_Pop!$C$1,MATCH(Per_1000!Q$2,Country_Pop!$A:$A,0)-1,0))</f>
        <v/>
      </c>
      <c r="R11" s="1" t="str">
        <f ca="1">IF(OR(Net_PositivesOnly!R11="",Net_PositivesOnly!R11=0,Net_PositivesOnly!R11&lt;10000),"",
Net_PositivesOnly!R11/OFFSET(Country_Pop!$C$1,MATCH(Per_1000!R$2,Country_Pop!$A:$A,0)-1,0))</f>
        <v/>
      </c>
      <c r="S11" s="1">
        <f ca="1">IF(OR(Net_PositivesOnly!S11="",Net_PositivesOnly!S11=0,Net_PositivesOnly!S11&lt;10000),"",
Net_PositivesOnly!S11/OFFSET(Country_Pop!$C$1,MATCH(Per_1000!S$2,Country_Pop!$A:$A,0)-1,0))</f>
        <v>1.8390906419706146</v>
      </c>
      <c r="T11" s="1" t="str">
        <f ca="1">IF(OR(Net_PositivesOnly!T11="",Net_PositivesOnly!T11=0,Net_PositivesOnly!T11&lt;10000),"",
Net_PositivesOnly!T11/OFFSET(Country_Pop!$C$1,MATCH(Per_1000!T$2,Country_Pop!$A:$A,0)-1,0))</f>
        <v/>
      </c>
      <c r="U11" s="1" t="str">
        <f ca="1">IF(OR(Net_PositivesOnly!U11="",Net_PositivesOnly!U11=0,Net_PositivesOnly!U11&lt;10000),"",
Net_PositivesOnly!U11/OFFSET(Country_Pop!$C$1,MATCH(Per_1000!U$2,Country_Pop!$A:$A,0)-1,0))</f>
        <v/>
      </c>
    </row>
    <row r="12" spans="1:21" ht="15" customHeight="1" x14ac:dyDescent="0.35">
      <c r="A12" s="16"/>
      <c r="B12" s="2" t="s">
        <v>9</v>
      </c>
      <c r="C12" s="1" t="str">
        <f ca="1">IF(OR(Net_PositivesOnly!C12="",Net_PositivesOnly!C12=0,Net_PositivesOnly!C12&lt;10000),"",
Net_PositivesOnly!C12/OFFSET(Country_Pop!$C$1,MATCH(Per_1000!C$2,Country_Pop!$A:$A,0)-1,0))</f>
        <v/>
      </c>
      <c r="D12" s="1" t="str">
        <f ca="1">IF(OR(Net_PositivesOnly!D12="",Net_PositivesOnly!D12=0,Net_PositivesOnly!D12&lt;10000),"",
Net_PositivesOnly!D12/OFFSET(Country_Pop!$C$1,MATCH(Per_1000!D$2,Country_Pop!$A:$A,0)-1,0))</f>
        <v/>
      </c>
      <c r="E12" s="1" t="str">
        <f ca="1">IF(OR(Net_PositivesOnly!E12="",Net_PositivesOnly!E12=0,Net_PositivesOnly!E12&lt;10000),"",
Net_PositivesOnly!E12/OFFSET(Country_Pop!$C$1,MATCH(Per_1000!E$2,Country_Pop!$A:$A,0)-1,0))</f>
        <v/>
      </c>
      <c r="F12" s="1" t="str">
        <f ca="1">IF(OR(Net_PositivesOnly!F12="",Net_PositivesOnly!F12=0,Net_PositivesOnly!F12&lt;10000),"",
Net_PositivesOnly!F12/OFFSET(Country_Pop!$C$1,MATCH(Per_1000!F$2,Country_Pop!$A:$A,0)-1,0))</f>
        <v/>
      </c>
      <c r="G12" s="1" t="str">
        <f ca="1">IF(OR(Net_PositivesOnly!G12="",Net_PositivesOnly!G12=0,Net_PositivesOnly!G12&lt;10000),"",
Net_PositivesOnly!G12/OFFSET(Country_Pop!$C$1,MATCH(Per_1000!G$2,Country_Pop!$A:$A,0)-1,0))</f>
        <v/>
      </c>
      <c r="H12" s="1" t="str">
        <f ca="1">IF(OR(Net_PositivesOnly!H12="",Net_PositivesOnly!H12=0,Net_PositivesOnly!H12&lt;10000),"",
Net_PositivesOnly!H12/OFFSET(Country_Pop!$C$1,MATCH(Per_1000!H$2,Country_Pop!$A:$A,0)-1,0))</f>
        <v/>
      </c>
      <c r="I12" s="1" t="str">
        <f ca="1">IF(OR(Net_PositivesOnly!I12="",Net_PositivesOnly!I12=0,Net_PositivesOnly!I12&lt;10000),"",
Net_PositivesOnly!I12/OFFSET(Country_Pop!$C$1,MATCH(Per_1000!I$2,Country_Pop!$A:$A,0)-1,0))</f>
        <v/>
      </c>
      <c r="J12" s="1" t="str">
        <f ca="1">IF(OR(Net_PositivesOnly!J12="",Net_PositivesOnly!J12=0,Net_PositivesOnly!J12&lt;10000),"",
Net_PositivesOnly!J12/OFFSET(Country_Pop!$C$1,MATCH(Per_1000!J$2,Country_Pop!$A:$A,0)-1,0))</f>
        <v/>
      </c>
      <c r="K12" s="1" t="str">
        <f ca="1">IF(OR(Net_PositivesOnly!K12="",Net_PositivesOnly!K12=0,Net_PositivesOnly!K12&lt;10000),"",
Net_PositivesOnly!K12/OFFSET(Country_Pop!$C$1,MATCH(Per_1000!K$2,Country_Pop!$A:$A,0)-1,0))</f>
        <v/>
      </c>
      <c r="L12" s="1" t="str">
        <f ca="1">IF(OR(Net_PositivesOnly!L12="",Net_PositivesOnly!L12=0,Net_PositivesOnly!L12&lt;10000),"",
Net_PositivesOnly!L12/OFFSET(Country_Pop!$C$1,MATCH(Per_1000!L$2,Country_Pop!$A:$A,0)-1,0))</f>
        <v/>
      </c>
      <c r="M12" s="1" t="str">
        <f ca="1">IF(OR(Net_PositivesOnly!M12="",Net_PositivesOnly!M12=0,Net_PositivesOnly!M12&lt;10000),"",
Net_PositivesOnly!M12/OFFSET(Country_Pop!$C$1,MATCH(Per_1000!M$2,Country_Pop!$A:$A,0)-1,0))</f>
        <v/>
      </c>
      <c r="N12" s="1">
        <f ca="1">IF(OR(Net_PositivesOnly!N12="",Net_PositivesOnly!N12=0,Net_PositivesOnly!N12&lt;10000),"",
Net_PositivesOnly!N12/OFFSET(Country_Pop!$C$1,MATCH(Per_1000!N$2,Country_Pop!$A:$A,0)-1,0))</f>
        <v>0.82389283054713647</v>
      </c>
      <c r="O12" s="1" t="str">
        <f ca="1">IF(OR(Net_PositivesOnly!O12="",Net_PositivesOnly!O12=0,Net_PositivesOnly!O12&lt;10000),"",
Net_PositivesOnly!O12/OFFSET(Country_Pop!$C$1,MATCH(Per_1000!O$2,Country_Pop!$A:$A,0)-1,0))</f>
        <v/>
      </c>
      <c r="P12" s="1" t="str">
        <f ca="1">IF(OR(Net_PositivesOnly!P12="",Net_PositivesOnly!P12=0,Net_PositivesOnly!P12&lt;10000),"",
Net_PositivesOnly!P12/OFFSET(Country_Pop!$C$1,MATCH(Per_1000!P$2,Country_Pop!$A:$A,0)-1,0))</f>
        <v/>
      </c>
      <c r="Q12" s="1" t="str">
        <f ca="1">IF(OR(Net_PositivesOnly!Q12="",Net_PositivesOnly!Q12=0,Net_PositivesOnly!Q12&lt;10000),"",
Net_PositivesOnly!Q12/OFFSET(Country_Pop!$C$1,MATCH(Per_1000!Q$2,Country_Pop!$A:$A,0)-1,0))</f>
        <v/>
      </c>
      <c r="R12" s="1" t="str">
        <f ca="1">IF(OR(Net_PositivesOnly!R12="",Net_PositivesOnly!R12=0,Net_PositivesOnly!R12&lt;10000),"",
Net_PositivesOnly!R12/OFFSET(Country_Pop!$C$1,MATCH(Per_1000!R$2,Country_Pop!$A:$A,0)-1,0))</f>
        <v/>
      </c>
      <c r="S12" s="1">
        <f ca="1">IF(OR(Net_PositivesOnly!S12="",Net_PositivesOnly!S12=0,Net_PositivesOnly!S12&lt;10000),"",
Net_PositivesOnly!S12/OFFSET(Country_Pop!$C$1,MATCH(Per_1000!S$2,Country_Pop!$A:$A,0)-1,0))</f>
        <v>0.88423108157029218</v>
      </c>
      <c r="T12" s="1" t="str">
        <f ca="1">IF(OR(Net_PositivesOnly!T12="",Net_PositivesOnly!T12=0,Net_PositivesOnly!T12&lt;10000),"",
Net_PositivesOnly!T12/OFFSET(Country_Pop!$C$1,MATCH(Per_1000!T$2,Country_Pop!$A:$A,0)-1,0))</f>
        <v/>
      </c>
      <c r="U12" s="1" t="str">
        <f ca="1">IF(OR(Net_PositivesOnly!U12="",Net_PositivesOnly!U12=0,Net_PositivesOnly!U12&lt;10000),"",
Net_PositivesOnly!U12/OFFSET(Country_Pop!$C$1,MATCH(Per_1000!U$2,Country_Pop!$A:$A,0)-1,0))</f>
        <v/>
      </c>
    </row>
    <row r="13" spans="1:21" ht="15" customHeight="1" x14ac:dyDescent="0.35">
      <c r="A13" s="16"/>
      <c r="B13" s="2" t="s">
        <v>10</v>
      </c>
      <c r="C13" s="1" t="str">
        <f ca="1">IF(OR(Net_PositivesOnly!C13="",Net_PositivesOnly!C13=0,Net_PositivesOnly!C13&lt;10000),"",
Net_PositivesOnly!C13/OFFSET(Country_Pop!$C$1,MATCH(Per_1000!C$2,Country_Pop!$A:$A,0)-1,0))</f>
        <v/>
      </c>
      <c r="D13" s="1" t="str">
        <f ca="1">IF(OR(Net_PositivesOnly!D13="",Net_PositivesOnly!D13=0,Net_PositivesOnly!D13&lt;10000),"",
Net_PositivesOnly!D13/OFFSET(Country_Pop!$C$1,MATCH(Per_1000!D$2,Country_Pop!$A:$A,0)-1,0))</f>
        <v/>
      </c>
      <c r="E13" s="1" t="str">
        <f ca="1">IF(OR(Net_PositivesOnly!E13="",Net_PositivesOnly!E13=0,Net_PositivesOnly!E13&lt;10000),"",
Net_PositivesOnly!E13/OFFSET(Country_Pop!$C$1,MATCH(Per_1000!E$2,Country_Pop!$A:$A,0)-1,0))</f>
        <v/>
      </c>
      <c r="F13" s="1" t="str">
        <f ca="1">IF(OR(Net_PositivesOnly!F13="",Net_PositivesOnly!F13=0,Net_PositivesOnly!F13&lt;10000),"",
Net_PositivesOnly!F13/OFFSET(Country_Pop!$C$1,MATCH(Per_1000!F$2,Country_Pop!$A:$A,0)-1,0))</f>
        <v/>
      </c>
      <c r="G13" s="1" t="str">
        <f ca="1">IF(OR(Net_PositivesOnly!G13="",Net_PositivesOnly!G13=0,Net_PositivesOnly!G13&lt;10000),"",
Net_PositivesOnly!G13/OFFSET(Country_Pop!$C$1,MATCH(Per_1000!G$2,Country_Pop!$A:$A,0)-1,0))</f>
        <v/>
      </c>
      <c r="H13" s="1" t="str">
        <f ca="1">IF(OR(Net_PositivesOnly!H13="",Net_PositivesOnly!H13=0,Net_PositivesOnly!H13&lt;10000),"",
Net_PositivesOnly!H13/OFFSET(Country_Pop!$C$1,MATCH(Per_1000!H$2,Country_Pop!$A:$A,0)-1,0))</f>
        <v/>
      </c>
      <c r="I13" s="1" t="str">
        <f ca="1">IF(OR(Net_PositivesOnly!I13="",Net_PositivesOnly!I13=0,Net_PositivesOnly!I13&lt;10000),"",
Net_PositivesOnly!I13/OFFSET(Country_Pop!$C$1,MATCH(Per_1000!I$2,Country_Pop!$A:$A,0)-1,0))</f>
        <v/>
      </c>
      <c r="J13" s="1" t="str">
        <f ca="1">IF(OR(Net_PositivesOnly!J13="",Net_PositivesOnly!J13=0,Net_PositivesOnly!J13&lt;10000),"",
Net_PositivesOnly!J13/OFFSET(Country_Pop!$C$1,MATCH(Per_1000!J$2,Country_Pop!$A:$A,0)-1,0))</f>
        <v/>
      </c>
      <c r="K13" s="1" t="str">
        <f ca="1">IF(OR(Net_PositivesOnly!K13="",Net_PositivesOnly!K13=0,Net_PositivesOnly!K13&lt;10000),"",
Net_PositivesOnly!K13/OFFSET(Country_Pop!$C$1,MATCH(Per_1000!K$2,Country_Pop!$A:$A,0)-1,0))</f>
        <v/>
      </c>
      <c r="L13" s="1" t="str">
        <f ca="1">IF(OR(Net_PositivesOnly!L13="",Net_PositivesOnly!L13=0,Net_PositivesOnly!L13&lt;10000),"",
Net_PositivesOnly!L13/OFFSET(Country_Pop!$C$1,MATCH(Per_1000!L$2,Country_Pop!$A:$A,0)-1,0))</f>
        <v/>
      </c>
      <c r="M13" s="1" t="str">
        <f ca="1">IF(OR(Net_PositivesOnly!M13="",Net_PositivesOnly!M13=0,Net_PositivesOnly!M13&lt;10000),"",
Net_PositivesOnly!M13/OFFSET(Country_Pop!$C$1,MATCH(Per_1000!M$2,Country_Pop!$A:$A,0)-1,0))</f>
        <v/>
      </c>
      <c r="N13" s="1" t="str">
        <f ca="1">IF(OR(Net_PositivesOnly!N13="",Net_PositivesOnly!N13=0,Net_PositivesOnly!N13&lt;10000),"",
Net_PositivesOnly!N13/OFFSET(Country_Pop!$C$1,MATCH(Per_1000!N$2,Country_Pop!$A:$A,0)-1,0))</f>
        <v/>
      </c>
      <c r="O13" s="1" t="str">
        <f ca="1">IF(OR(Net_PositivesOnly!O13="",Net_PositivesOnly!O13=0,Net_PositivesOnly!O13&lt;10000),"",
Net_PositivesOnly!O13/OFFSET(Country_Pop!$C$1,MATCH(Per_1000!O$2,Country_Pop!$A:$A,0)-1,0))</f>
        <v/>
      </c>
      <c r="P13" s="1" t="str">
        <f ca="1">IF(OR(Net_PositivesOnly!P13="",Net_PositivesOnly!P13=0,Net_PositivesOnly!P13&lt;10000),"",
Net_PositivesOnly!P13/OFFSET(Country_Pop!$C$1,MATCH(Per_1000!P$2,Country_Pop!$A:$A,0)-1,0))</f>
        <v/>
      </c>
      <c r="Q13" s="1" t="str">
        <f ca="1">IF(OR(Net_PositivesOnly!Q13="",Net_PositivesOnly!Q13=0,Net_PositivesOnly!Q13&lt;10000),"",
Net_PositivesOnly!Q13/OFFSET(Country_Pop!$C$1,MATCH(Per_1000!Q$2,Country_Pop!$A:$A,0)-1,0))</f>
        <v/>
      </c>
      <c r="R13" s="1" t="str">
        <f ca="1">IF(OR(Net_PositivesOnly!R13="",Net_PositivesOnly!R13=0,Net_PositivesOnly!R13&lt;10000),"",
Net_PositivesOnly!R13/OFFSET(Country_Pop!$C$1,MATCH(Per_1000!R$2,Country_Pop!$A:$A,0)-1,0))</f>
        <v/>
      </c>
      <c r="S13" s="1">
        <f ca="1">IF(OR(Net_PositivesOnly!S13="",Net_PositivesOnly!S13=0,Net_PositivesOnly!S13&lt;10000),"",
Net_PositivesOnly!S13/OFFSET(Country_Pop!$C$1,MATCH(Per_1000!S$2,Country_Pop!$A:$A,0)-1,0))</f>
        <v>0.42712819848530903</v>
      </c>
      <c r="T13" s="1" t="str">
        <f ca="1">IF(OR(Net_PositivesOnly!T13="",Net_PositivesOnly!T13=0,Net_PositivesOnly!T13&lt;10000),"",
Net_PositivesOnly!T13/OFFSET(Country_Pop!$C$1,MATCH(Per_1000!T$2,Country_Pop!$A:$A,0)-1,0))</f>
        <v/>
      </c>
      <c r="U13" s="1" t="str">
        <f ca="1">IF(OR(Net_PositivesOnly!U13="",Net_PositivesOnly!U13=0,Net_PositivesOnly!U13&lt;10000),"",
Net_PositivesOnly!U13/OFFSET(Country_Pop!$C$1,MATCH(Per_1000!U$2,Country_Pop!$A:$A,0)-1,0))</f>
        <v/>
      </c>
    </row>
    <row r="14" spans="1:21" ht="15" customHeight="1" x14ac:dyDescent="0.35">
      <c r="A14" s="16"/>
      <c r="B14" s="2" t="s">
        <v>11</v>
      </c>
      <c r="C14" s="1" t="str">
        <f ca="1">IF(OR(Net_PositivesOnly!C14="",Net_PositivesOnly!C14=0,Net_PositivesOnly!C14&lt;10000),"",
Net_PositivesOnly!C14/OFFSET(Country_Pop!$C$1,MATCH(Per_1000!C$2,Country_Pop!$A:$A,0)-1,0))</f>
        <v/>
      </c>
      <c r="D14" s="1" t="str">
        <f ca="1">IF(OR(Net_PositivesOnly!D14="",Net_PositivesOnly!D14=0,Net_PositivesOnly!D14&lt;10000),"",
Net_PositivesOnly!D14/OFFSET(Country_Pop!$C$1,MATCH(Per_1000!D$2,Country_Pop!$A:$A,0)-1,0))</f>
        <v/>
      </c>
      <c r="E14" s="1" t="str">
        <f ca="1">IF(OR(Net_PositivesOnly!E14="",Net_PositivesOnly!E14=0,Net_PositivesOnly!E14&lt;10000),"",
Net_PositivesOnly!E14/OFFSET(Country_Pop!$C$1,MATCH(Per_1000!E$2,Country_Pop!$A:$A,0)-1,0))</f>
        <v/>
      </c>
      <c r="F14" s="1">
        <f ca="1">IF(OR(Net_PositivesOnly!F14="",Net_PositivesOnly!F14=0,Net_PositivesOnly!F14&lt;10000),"",
Net_PositivesOnly!F14/OFFSET(Country_Pop!$C$1,MATCH(Per_1000!F$2,Country_Pop!$A:$A,0)-1,0))</f>
        <v>0.55812563634779</v>
      </c>
      <c r="G14" s="1" t="str">
        <f ca="1">IF(OR(Net_PositivesOnly!G14="",Net_PositivesOnly!G14=0,Net_PositivesOnly!G14&lt;10000),"",
Net_PositivesOnly!G14/OFFSET(Country_Pop!$C$1,MATCH(Per_1000!G$2,Country_Pop!$A:$A,0)-1,0))</f>
        <v/>
      </c>
      <c r="H14" s="1" t="str">
        <f ca="1">IF(OR(Net_PositivesOnly!H14="",Net_PositivesOnly!H14=0,Net_PositivesOnly!H14&lt;10000),"",
Net_PositivesOnly!H14/OFFSET(Country_Pop!$C$1,MATCH(Per_1000!H$2,Country_Pop!$A:$A,0)-1,0))</f>
        <v/>
      </c>
      <c r="I14" s="1" t="str">
        <f ca="1">IF(OR(Net_PositivesOnly!I14="",Net_PositivesOnly!I14=0,Net_PositivesOnly!I14&lt;10000),"",
Net_PositivesOnly!I14/OFFSET(Country_Pop!$C$1,MATCH(Per_1000!I$2,Country_Pop!$A:$A,0)-1,0))</f>
        <v/>
      </c>
      <c r="J14" s="1" t="str">
        <f ca="1">IF(OR(Net_PositivesOnly!J14="",Net_PositivesOnly!J14=0,Net_PositivesOnly!J14&lt;10000),"",
Net_PositivesOnly!J14/OFFSET(Country_Pop!$C$1,MATCH(Per_1000!J$2,Country_Pop!$A:$A,0)-1,0))</f>
        <v/>
      </c>
      <c r="K14" s="1" t="str">
        <f ca="1">IF(OR(Net_PositivesOnly!K14="",Net_PositivesOnly!K14=0,Net_PositivesOnly!K14&lt;10000),"",
Net_PositivesOnly!K14/OFFSET(Country_Pop!$C$1,MATCH(Per_1000!K$2,Country_Pop!$A:$A,0)-1,0))</f>
        <v/>
      </c>
      <c r="L14" s="1" t="str">
        <f ca="1">IF(OR(Net_PositivesOnly!L14="",Net_PositivesOnly!L14=0,Net_PositivesOnly!L14&lt;10000),"",
Net_PositivesOnly!L14/OFFSET(Country_Pop!$C$1,MATCH(Per_1000!L$2,Country_Pop!$A:$A,0)-1,0))</f>
        <v/>
      </c>
      <c r="M14" s="1" t="str">
        <f ca="1">IF(OR(Net_PositivesOnly!M14="",Net_PositivesOnly!M14=0,Net_PositivesOnly!M14&lt;10000),"",
Net_PositivesOnly!M14/OFFSET(Country_Pop!$C$1,MATCH(Per_1000!M$2,Country_Pop!$A:$A,0)-1,0))</f>
        <v/>
      </c>
      <c r="N14" s="1" t="str">
        <f ca="1">IF(OR(Net_PositivesOnly!N14="",Net_PositivesOnly!N14=0,Net_PositivesOnly!N14&lt;10000),"",
Net_PositivesOnly!N14/OFFSET(Country_Pop!$C$1,MATCH(Per_1000!N$2,Country_Pop!$A:$A,0)-1,0))</f>
        <v/>
      </c>
      <c r="O14" s="1" t="str">
        <f ca="1">IF(OR(Net_PositivesOnly!O14="",Net_PositivesOnly!O14=0,Net_PositivesOnly!O14&lt;10000),"",
Net_PositivesOnly!O14/OFFSET(Country_Pop!$C$1,MATCH(Per_1000!O$2,Country_Pop!$A:$A,0)-1,0))</f>
        <v/>
      </c>
      <c r="P14" s="1" t="str">
        <f ca="1">IF(OR(Net_PositivesOnly!P14="",Net_PositivesOnly!P14=0,Net_PositivesOnly!P14&lt;10000),"",
Net_PositivesOnly!P14/OFFSET(Country_Pop!$C$1,MATCH(Per_1000!P$2,Country_Pop!$A:$A,0)-1,0))</f>
        <v/>
      </c>
      <c r="Q14" s="1" t="str">
        <f ca="1">IF(OR(Net_PositivesOnly!Q14="",Net_PositivesOnly!Q14=0,Net_PositivesOnly!Q14&lt;10000),"",
Net_PositivesOnly!Q14/OFFSET(Country_Pop!$C$1,MATCH(Per_1000!Q$2,Country_Pop!$A:$A,0)-1,0))</f>
        <v/>
      </c>
      <c r="R14" s="1" t="str">
        <f ca="1">IF(OR(Net_PositivesOnly!R14="",Net_PositivesOnly!R14=0,Net_PositivesOnly!R14&lt;10000),"",
Net_PositivesOnly!R14/OFFSET(Country_Pop!$C$1,MATCH(Per_1000!R$2,Country_Pop!$A:$A,0)-1,0))</f>
        <v/>
      </c>
      <c r="S14" s="1">
        <f ca="1">IF(OR(Net_PositivesOnly!S14="",Net_PositivesOnly!S14=0,Net_PositivesOnly!S14&lt;10000),"",
Net_PositivesOnly!S14/OFFSET(Country_Pop!$C$1,MATCH(Per_1000!S$2,Country_Pop!$A:$A,0)-1,0))</f>
        <v>16.484202860736453</v>
      </c>
      <c r="T14" s="1" t="str">
        <f ca="1">IF(OR(Net_PositivesOnly!T14="",Net_PositivesOnly!T14=0,Net_PositivesOnly!T14&lt;10000),"",
Net_PositivesOnly!T14/OFFSET(Country_Pop!$C$1,MATCH(Per_1000!T$2,Country_Pop!$A:$A,0)-1,0))</f>
        <v/>
      </c>
      <c r="U14" s="1" t="str">
        <f ca="1">IF(OR(Net_PositivesOnly!U14="",Net_PositivesOnly!U14=0,Net_PositivesOnly!U14&lt;10000),"",
Net_PositivesOnly!U14/OFFSET(Country_Pop!$C$1,MATCH(Per_1000!U$2,Country_Pop!$A:$A,0)-1,0))</f>
        <v/>
      </c>
    </row>
    <row r="15" spans="1:21" ht="15" customHeight="1" x14ac:dyDescent="0.35">
      <c r="A15" s="16"/>
      <c r="B15" s="2" t="s">
        <v>12</v>
      </c>
      <c r="C15" s="1" t="str">
        <f ca="1">IF(OR(Net_PositivesOnly!C15="",Net_PositivesOnly!C15=0,Net_PositivesOnly!C15&lt;10000),"",
Net_PositivesOnly!C15/OFFSET(Country_Pop!$C$1,MATCH(Per_1000!C$2,Country_Pop!$A:$A,0)-1,0))</f>
        <v/>
      </c>
      <c r="D15" s="1" t="str">
        <f ca="1">IF(OR(Net_PositivesOnly!D15="",Net_PositivesOnly!D15=0,Net_PositivesOnly!D15&lt;10000),"",
Net_PositivesOnly!D15/OFFSET(Country_Pop!$C$1,MATCH(Per_1000!D$2,Country_Pop!$A:$A,0)-1,0))</f>
        <v/>
      </c>
      <c r="E15" s="1" t="str">
        <f ca="1">IF(OR(Net_PositivesOnly!E15="",Net_PositivesOnly!E15=0,Net_PositivesOnly!E15&lt;10000),"",
Net_PositivesOnly!E15/OFFSET(Country_Pop!$C$1,MATCH(Per_1000!E$2,Country_Pop!$A:$A,0)-1,0))</f>
        <v/>
      </c>
      <c r="F15" s="1" t="str">
        <f ca="1">IF(OR(Net_PositivesOnly!F15="",Net_PositivesOnly!F15=0,Net_PositivesOnly!F15&lt;10000),"",
Net_PositivesOnly!F15/OFFSET(Country_Pop!$C$1,MATCH(Per_1000!F$2,Country_Pop!$A:$A,0)-1,0))</f>
        <v/>
      </c>
      <c r="G15" s="1" t="str">
        <f ca="1">IF(OR(Net_PositivesOnly!G15="",Net_PositivesOnly!G15=0,Net_PositivesOnly!G15&lt;10000),"",
Net_PositivesOnly!G15/OFFSET(Country_Pop!$C$1,MATCH(Per_1000!G$2,Country_Pop!$A:$A,0)-1,0))</f>
        <v/>
      </c>
      <c r="H15" s="1" t="str">
        <f ca="1">IF(OR(Net_PositivesOnly!H15="",Net_PositivesOnly!H15=0,Net_PositivesOnly!H15&lt;10000),"",
Net_PositivesOnly!H15/OFFSET(Country_Pop!$C$1,MATCH(Per_1000!H$2,Country_Pop!$A:$A,0)-1,0))</f>
        <v/>
      </c>
      <c r="I15" s="1">
        <f ca="1">IF(OR(Net_PositivesOnly!I15="",Net_PositivesOnly!I15=0,Net_PositivesOnly!I15&lt;10000),"",
Net_PositivesOnly!I15/OFFSET(Country_Pop!$C$1,MATCH(Per_1000!I$2,Country_Pop!$A:$A,0)-1,0))</f>
        <v>29.50808564101736</v>
      </c>
      <c r="J15" s="1" t="str">
        <f ca="1">IF(OR(Net_PositivesOnly!J15="",Net_PositivesOnly!J15=0,Net_PositivesOnly!J15&lt;10000),"",
Net_PositivesOnly!J15/OFFSET(Country_Pop!$C$1,MATCH(Per_1000!J$2,Country_Pop!$A:$A,0)-1,0))</f>
        <v/>
      </c>
      <c r="K15" s="1" t="str">
        <f ca="1">IF(OR(Net_PositivesOnly!K15="",Net_PositivesOnly!K15=0,Net_PositivesOnly!K15&lt;10000),"",
Net_PositivesOnly!K15/OFFSET(Country_Pop!$C$1,MATCH(Per_1000!K$2,Country_Pop!$A:$A,0)-1,0))</f>
        <v/>
      </c>
      <c r="L15" s="1" t="str">
        <f ca="1">IF(OR(Net_PositivesOnly!L15="",Net_PositivesOnly!L15=0,Net_PositivesOnly!L15&lt;10000),"",
Net_PositivesOnly!L15/OFFSET(Country_Pop!$C$1,MATCH(Per_1000!L$2,Country_Pop!$A:$A,0)-1,0))</f>
        <v/>
      </c>
      <c r="M15" s="1">
        <f ca="1">IF(OR(Net_PositivesOnly!M15="",Net_PositivesOnly!M15=0,Net_PositivesOnly!M15&lt;10000),"",
Net_PositivesOnly!M15/OFFSET(Country_Pop!$C$1,MATCH(Per_1000!M$2,Country_Pop!$A:$A,0)-1,0))</f>
        <v>26.64337844873403</v>
      </c>
      <c r="N15" s="1" t="str">
        <f ca="1">IF(OR(Net_PositivesOnly!N15="",Net_PositivesOnly!N15=0,Net_PositivesOnly!N15&lt;10000),"",
Net_PositivesOnly!N15/OFFSET(Country_Pop!$C$1,MATCH(Per_1000!N$2,Country_Pop!$A:$A,0)-1,0))</f>
        <v/>
      </c>
      <c r="O15" s="1" t="str">
        <f ca="1">IF(OR(Net_PositivesOnly!O15="",Net_PositivesOnly!O15=0,Net_PositivesOnly!O15&lt;10000),"",
Net_PositivesOnly!O15/OFFSET(Country_Pop!$C$1,MATCH(Per_1000!O$2,Country_Pop!$A:$A,0)-1,0))</f>
        <v/>
      </c>
      <c r="P15" s="1" t="str">
        <f ca="1">IF(OR(Net_PositivesOnly!P15="",Net_PositivesOnly!P15=0,Net_PositivesOnly!P15&lt;10000),"",
Net_PositivesOnly!P15/OFFSET(Country_Pop!$C$1,MATCH(Per_1000!P$2,Country_Pop!$A:$A,0)-1,0))</f>
        <v/>
      </c>
      <c r="Q15" s="1" t="str">
        <f ca="1">IF(OR(Net_PositivesOnly!Q15="",Net_PositivesOnly!Q15=0,Net_PositivesOnly!Q15&lt;10000),"",
Net_PositivesOnly!Q15/OFFSET(Country_Pop!$C$1,MATCH(Per_1000!Q$2,Country_Pop!$A:$A,0)-1,0))</f>
        <v/>
      </c>
      <c r="R15" s="1" t="str">
        <f ca="1">IF(OR(Net_PositivesOnly!R15="",Net_PositivesOnly!R15=0,Net_PositivesOnly!R15&lt;10000),"",
Net_PositivesOnly!R15/OFFSET(Country_Pop!$C$1,MATCH(Per_1000!R$2,Country_Pop!$A:$A,0)-1,0))</f>
        <v/>
      </c>
      <c r="S15" s="1">
        <f ca="1">IF(OR(Net_PositivesOnly!S15="",Net_PositivesOnly!S15=0,Net_PositivesOnly!S15&lt;10000),"",
Net_PositivesOnly!S15/OFFSET(Country_Pop!$C$1,MATCH(Per_1000!S$2,Country_Pop!$A:$A,0)-1,0))</f>
        <v>0.66317431636499613</v>
      </c>
      <c r="T15" s="1" t="str">
        <f ca="1">IF(OR(Net_PositivesOnly!T15="",Net_PositivesOnly!T15=0,Net_PositivesOnly!T15&lt;10000),"",
Net_PositivesOnly!T15/OFFSET(Country_Pop!$C$1,MATCH(Per_1000!T$2,Country_Pop!$A:$A,0)-1,0))</f>
        <v/>
      </c>
      <c r="U15" s="1" t="str">
        <f ca="1">IF(OR(Net_PositivesOnly!U15="",Net_PositivesOnly!U15=0,Net_PositivesOnly!U15&lt;10000),"",
Net_PositivesOnly!U15/OFFSET(Country_Pop!$C$1,MATCH(Per_1000!U$2,Country_Pop!$A:$A,0)-1,0))</f>
        <v/>
      </c>
    </row>
    <row r="16" spans="1:21" ht="15" customHeight="1" x14ac:dyDescent="0.35">
      <c r="A16" s="16"/>
      <c r="B16" s="2" t="s">
        <v>13</v>
      </c>
      <c r="C16" s="1" t="str">
        <f ca="1">IF(OR(Net_PositivesOnly!C16="",Net_PositivesOnly!C16=0,Net_PositivesOnly!C16&lt;10000),"",
Net_PositivesOnly!C16/OFFSET(Country_Pop!$C$1,MATCH(Per_1000!C$2,Country_Pop!$A:$A,0)-1,0))</f>
        <v/>
      </c>
      <c r="D16" s="1" t="str">
        <f ca="1">IF(OR(Net_PositivesOnly!D16="",Net_PositivesOnly!D16=0,Net_PositivesOnly!D16&lt;10000),"",
Net_PositivesOnly!D16/OFFSET(Country_Pop!$C$1,MATCH(Per_1000!D$2,Country_Pop!$A:$A,0)-1,0))</f>
        <v/>
      </c>
      <c r="E16" s="1" t="str">
        <f ca="1">IF(OR(Net_PositivesOnly!E16="",Net_PositivesOnly!E16=0,Net_PositivesOnly!E16&lt;10000),"",
Net_PositivesOnly!E16/OFFSET(Country_Pop!$C$1,MATCH(Per_1000!E$2,Country_Pop!$A:$A,0)-1,0))</f>
        <v/>
      </c>
      <c r="F16" s="1" t="str">
        <f ca="1">IF(OR(Net_PositivesOnly!F16="",Net_PositivesOnly!F16=0,Net_PositivesOnly!F16&lt;10000),"",
Net_PositivesOnly!F16/OFFSET(Country_Pop!$C$1,MATCH(Per_1000!F$2,Country_Pop!$A:$A,0)-1,0))</f>
        <v/>
      </c>
      <c r="G16" s="1" t="str">
        <f ca="1">IF(OR(Net_PositivesOnly!G16="",Net_PositivesOnly!G16=0,Net_PositivesOnly!G16&lt;10000),"",
Net_PositivesOnly!G16/OFFSET(Country_Pop!$C$1,MATCH(Per_1000!G$2,Country_Pop!$A:$A,0)-1,0))</f>
        <v/>
      </c>
      <c r="H16" s="1" t="str">
        <f ca="1">IF(OR(Net_PositivesOnly!H16="",Net_PositivesOnly!H16=0,Net_PositivesOnly!H16&lt;10000),"",
Net_PositivesOnly!H16/OFFSET(Country_Pop!$C$1,MATCH(Per_1000!H$2,Country_Pop!$A:$A,0)-1,0))</f>
        <v/>
      </c>
      <c r="I16" s="1" t="str">
        <f ca="1">IF(OR(Net_PositivesOnly!I16="",Net_PositivesOnly!I16=0,Net_PositivesOnly!I16&lt;10000),"",
Net_PositivesOnly!I16/OFFSET(Country_Pop!$C$1,MATCH(Per_1000!I$2,Country_Pop!$A:$A,0)-1,0))</f>
        <v/>
      </c>
      <c r="J16" s="1" t="str">
        <f ca="1">IF(OR(Net_PositivesOnly!J16="",Net_PositivesOnly!J16=0,Net_PositivesOnly!J16&lt;10000),"",
Net_PositivesOnly!J16/OFFSET(Country_Pop!$C$1,MATCH(Per_1000!J$2,Country_Pop!$A:$A,0)-1,0))</f>
        <v/>
      </c>
      <c r="K16" s="1" t="str">
        <f ca="1">IF(OR(Net_PositivesOnly!K16="",Net_PositivesOnly!K16=0,Net_PositivesOnly!K16&lt;10000),"",
Net_PositivesOnly!K16/OFFSET(Country_Pop!$C$1,MATCH(Per_1000!K$2,Country_Pop!$A:$A,0)-1,0))</f>
        <v/>
      </c>
      <c r="L16" s="1" t="str">
        <f ca="1">IF(OR(Net_PositivesOnly!L16="",Net_PositivesOnly!L16=0,Net_PositivesOnly!L16&lt;10000),"",
Net_PositivesOnly!L16/OFFSET(Country_Pop!$C$1,MATCH(Per_1000!L$2,Country_Pop!$A:$A,0)-1,0))</f>
        <v/>
      </c>
      <c r="M16" s="1" t="str">
        <f ca="1">IF(OR(Net_PositivesOnly!M16="",Net_PositivesOnly!M16=0,Net_PositivesOnly!M16&lt;10000),"",
Net_PositivesOnly!M16/OFFSET(Country_Pop!$C$1,MATCH(Per_1000!M$2,Country_Pop!$A:$A,0)-1,0))</f>
        <v/>
      </c>
      <c r="N16" s="1">
        <f ca="1">IF(OR(Net_PositivesOnly!N16="",Net_PositivesOnly!N16=0,Net_PositivesOnly!N16&lt;10000),"",
Net_PositivesOnly!N16/OFFSET(Country_Pop!$C$1,MATCH(Per_1000!N$2,Country_Pop!$A:$A,0)-1,0))</f>
        <v>0.2984382270224073</v>
      </c>
      <c r="O16" s="1" t="str">
        <f ca="1">IF(OR(Net_PositivesOnly!O16="",Net_PositivesOnly!O16=0,Net_PositivesOnly!O16&lt;10000),"",
Net_PositivesOnly!O16/OFFSET(Country_Pop!$C$1,MATCH(Per_1000!O$2,Country_Pop!$A:$A,0)-1,0))</f>
        <v/>
      </c>
      <c r="P16" s="1" t="str">
        <f ca="1">IF(OR(Net_PositivesOnly!P16="",Net_PositivesOnly!P16=0,Net_PositivesOnly!P16&lt;10000),"",
Net_PositivesOnly!P16/OFFSET(Country_Pop!$C$1,MATCH(Per_1000!P$2,Country_Pop!$A:$A,0)-1,0))</f>
        <v/>
      </c>
      <c r="Q16" s="1" t="str">
        <f ca="1">IF(OR(Net_PositivesOnly!Q16="",Net_PositivesOnly!Q16=0,Net_PositivesOnly!Q16&lt;10000),"",
Net_PositivesOnly!Q16/OFFSET(Country_Pop!$C$1,MATCH(Per_1000!Q$2,Country_Pop!$A:$A,0)-1,0))</f>
        <v/>
      </c>
      <c r="R16" s="1" t="str">
        <f ca="1">IF(OR(Net_PositivesOnly!R16="",Net_PositivesOnly!R16=0,Net_PositivesOnly!R16&lt;10000),"",
Net_PositivesOnly!R16/OFFSET(Country_Pop!$C$1,MATCH(Per_1000!R$2,Country_Pop!$A:$A,0)-1,0))</f>
        <v/>
      </c>
      <c r="S16" s="1">
        <f ca="1">IF(OR(Net_PositivesOnly!S16="",Net_PositivesOnly!S16=0,Net_PositivesOnly!S16&lt;10000),"",
Net_PositivesOnly!S16/OFFSET(Country_Pop!$C$1,MATCH(Per_1000!S$2,Country_Pop!$A:$A,0)-1,0))</f>
        <v>0.33138612072710116</v>
      </c>
      <c r="T16" s="1" t="str">
        <f ca="1">IF(OR(Net_PositivesOnly!T16="",Net_PositivesOnly!T16=0,Net_PositivesOnly!T16&lt;10000),"",
Net_PositivesOnly!T16/OFFSET(Country_Pop!$C$1,MATCH(Per_1000!T$2,Country_Pop!$A:$A,0)-1,0))</f>
        <v/>
      </c>
      <c r="U16" s="1" t="str">
        <f ca="1">IF(OR(Net_PositivesOnly!U16="",Net_PositivesOnly!U16=0,Net_PositivesOnly!U16&lt;10000),"",
Net_PositivesOnly!U16/OFFSET(Country_Pop!$C$1,MATCH(Per_1000!U$2,Country_Pop!$A:$A,0)-1,0))</f>
        <v/>
      </c>
    </row>
    <row r="17" spans="1:21" ht="15" customHeight="1" x14ac:dyDescent="0.35">
      <c r="A17" s="16"/>
      <c r="B17" s="2" t="s">
        <v>14</v>
      </c>
      <c r="C17" s="1">
        <f ca="1">IF(OR(Net_PositivesOnly!C17="",Net_PositivesOnly!C17=0,Net_PositivesOnly!C17&lt;10000),"",
Net_PositivesOnly!C17/OFFSET(Country_Pop!$C$1,MATCH(Per_1000!C$2,Country_Pop!$A:$A,0)-1,0))</f>
        <v>6.313244331555536</v>
      </c>
      <c r="D17" s="1" t="str">
        <f ca="1">IF(OR(Net_PositivesOnly!D17="",Net_PositivesOnly!D17=0,Net_PositivesOnly!D17&lt;10000),"",
Net_PositivesOnly!D17/OFFSET(Country_Pop!$C$1,MATCH(Per_1000!D$2,Country_Pop!$A:$A,0)-1,0))</f>
        <v/>
      </c>
      <c r="E17" s="1" t="str">
        <f ca="1">IF(OR(Net_PositivesOnly!E17="",Net_PositivesOnly!E17=0,Net_PositivesOnly!E17&lt;10000),"",
Net_PositivesOnly!E17/OFFSET(Country_Pop!$C$1,MATCH(Per_1000!E$2,Country_Pop!$A:$A,0)-1,0))</f>
        <v/>
      </c>
      <c r="F17" s="1" t="str">
        <f ca="1">IF(OR(Net_PositivesOnly!F17="",Net_PositivesOnly!F17=0,Net_PositivesOnly!F17&lt;10000),"",
Net_PositivesOnly!F17/OFFSET(Country_Pop!$C$1,MATCH(Per_1000!F$2,Country_Pop!$A:$A,0)-1,0))</f>
        <v/>
      </c>
      <c r="G17" s="1" t="str">
        <f ca="1">IF(OR(Net_PositivesOnly!G17="",Net_PositivesOnly!G17=0,Net_PositivesOnly!G17&lt;10000),"",
Net_PositivesOnly!G17/OFFSET(Country_Pop!$C$1,MATCH(Per_1000!G$2,Country_Pop!$A:$A,0)-1,0))</f>
        <v/>
      </c>
      <c r="H17" s="1" t="str">
        <f ca="1">IF(OR(Net_PositivesOnly!H17="",Net_PositivesOnly!H17=0,Net_PositivesOnly!H17&lt;10000),"",
Net_PositivesOnly!H17/OFFSET(Country_Pop!$C$1,MATCH(Per_1000!H$2,Country_Pop!$A:$A,0)-1,0))</f>
        <v/>
      </c>
      <c r="I17" s="1" t="str">
        <f ca="1">IF(OR(Net_PositivesOnly!I17="",Net_PositivesOnly!I17=0,Net_PositivesOnly!I17&lt;10000),"",
Net_PositivesOnly!I17/OFFSET(Country_Pop!$C$1,MATCH(Per_1000!I$2,Country_Pop!$A:$A,0)-1,0))</f>
        <v/>
      </c>
      <c r="J17" s="1" t="str">
        <f ca="1">IF(OR(Net_PositivesOnly!J17="",Net_PositivesOnly!J17=0,Net_PositivesOnly!J17&lt;10000),"",
Net_PositivesOnly!J17/OFFSET(Country_Pop!$C$1,MATCH(Per_1000!J$2,Country_Pop!$A:$A,0)-1,0))</f>
        <v/>
      </c>
      <c r="K17" s="1" t="str">
        <f ca="1">IF(OR(Net_PositivesOnly!K17="",Net_PositivesOnly!K17=0,Net_PositivesOnly!K17&lt;10000),"",
Net_PositivesOnly!K17/OFFSET(Country_Pop!$C$1,MATCH(Per_1000!K$2,Country_Pop!$A:$A,0)-1,0))</f>
        <v/>
      </c>
      <c r="L17" s="1" t="str">
        <f ca="1">IF(OR(Net_PositivesOnly!L17="",Net_PositivesOnly!L17=0,Net_PositivesOnly!L17&lt;10000),"",
Net_PositivesOnly!L17/OFFSET(Country_Pop!$C$1,MATCH(Per_1000!L$2,Country_Pop!$A:$A,0)-1,0))</f>
        <v/>
      </c>
      <c r="M17" s="1" t="str">
        <f ca="1">IF(OR(Net_PositivesOnly!M17="",Net_PositivesOnly!M17=0,Net_PositivesOnly!M17&lt;10000),"",
Net_PositivesOnly!M17/OFFSET(Country_Pop!$C$1,MATCH(Per_1000!M$2,Country_Pop!$A:$A,0)-1,0))</f>
        <v/>
      </c>
      <c r="N17" s="1" t="str">
        <f ca="1">IF(OR(Net_PositivesOnly!N17="",Net_PositivesOnly!N17=0,Net_PositivesOnly!N17&lt;10000),"",
Net_PositivesOnly!N17/OFFSET(Country_Pop!$C$1,MATCH(Per_1000!N$2,Country_Pop!$A:$A,0)-1,0))</f>
        <v/>
      </c>
      <c r="O17" s="1" t="str">
        <f ca="1">IF(OR(Net_PositivesOnly!O17="",Net_PositivesOnly!O17=0,Net_PositivesOnly!O17&lt;10000),"",
Net_PositivesOnly!O17/OFFSET(Country_Pop!$C$1,MATCH(Per_1000!O$2,Country_Pop!$A:$A,0)-1,0))</f>
        <v/>
      </c>
      <c r="P17" s="1" t="str">
        <f ca="1">IF(OR(Net_PositivesOnly!P17="",Net_PositivesOnly!P17=0,Net_PositivesOnly!P17&lt;10000),"",
Net_PositivesOnly!P17/OFFSET(Country_Pop!$C$1,MATCH(Per_1000!P$2,Country_Pop!$A:$A,0)-1,0))</f>
        <v/>
      </c>
      <c r="Q17" s="1" t="str">
        <f ca="1">IF(OR(Net_PositivesOnly!Q17="",Net_PositivesOnly!Q17=0,Net_PositivesOnly!Q17&lt;10000),"",
Net_PositivesOnly!Q17/OFFSET(Country_Pop!$C$1,MATCH(Per_1000!Q$2,Country_Pop!$A:$A,0)-1,0))</f>
        <v/>
      </c>
      <c r="R17" s="1" t="str">
        <f ca="1">IF(OR(Net_PositivesOnly!R17="",Net_PositivesOnly!R17=0,Net_PositivesOnly!R17&lt;10000),"",
Net_PositivesOnly!R17/OFFSET(Country_Pop!$C$1,MATCH(Per_1000!R$2,Country_Pop!$A:$A,0)-1,0))</f>
        <v/>
      </c>
      <c r="S17" s="1" t="str">
        <f ca="1">IF(OR(Net_PositivesOnly!S17="",Net_PositivesOnly!S17=0,Net_PositivesOnly!S17&lt;10000),"",
Net_PositivesOnly!S17/OFFSET(Country_Pop!$C$1,MATCH(Per_1000!S$2,Country_Pop!$A:$A,0)-1,0))</f>
        <v/>
      </c>
      <c r="T17" s="1" t="str">
        <f ca="1">IF(OR(Net_PositivesOnly!T17="",Net_PositivesOnly!T17=0,Net_PositivesOnly!T17&lt;10000),"",
Net_PositivesOnly!T17/OFFSET(Country_Pop!$C$1,MATCH(Per_1000!T$2,Country_Pop!$A:$A,0)-1,0))</f>
        <v/>
      </c>
      <c r="U17" s="1" t="str">
        <f ca="1">IF(OR(Net_PositivesOnly!U17="",Net_PositivesOnly!U17=0,Net_PositivesOnly!U17&lt;10000),"",
Net_PositivesOnly!U17/OFFSET(Country_Pop!$C$1,MATCH(Per_1000!U$2,Country_Pop!$A:$A,0)-1,0))</f>
        <v/>
      </c>
    </row>
    <row r="18" spans="1:21" ht="15" customHeight="1" x14ac:dyDescent="0.35">
      <c r="A18" s="16"/>
      <c r="B18" s="2" t="s">
        <v>15</v>
      </c>
      <c r="C18" s="1" t="str">
        <f ca="1">IF(OR(Net_PositivesOnly!C18="",Net_PositivesOnly!C18=0,Net_PositivesOnly!C18&lt;10000),"",
Net_PositivesOnly!C18/OFFSET(Country_Pop!$C$1,MATCH(Per_1000!C$2,Country_Pop!$A:$A,0)-1,0))</f>
        <v/>
      </c>
      <c r="D18" s="1" t="str">
        <f ca="1">IF(OR(Net_PositivesOnly!D18="",Net_PositivesOnly!D18=0,Net_PositivesOnly!D18&lt;10000),"",
Net_PositivesOnly!D18/OFFSET(Country_Pop!$C$1,MATCH(Per_1000!D$2,Country_Pop!$A:$A,0)-1,0))</f>
        <v/>
      </c>
      <c r="E18" s="1" t="str">
        <f ca="1">IF(OR(Net_PositivesOnly!E18="",Net_PositivesOnly!E18=0,Net_PositivesOnly!E18&lt;10000),"",
Net_PositivesOnly!E18/OFFSET(Country_Pop!$C$1,MATCH(Per_1000!E$2,Country_Pop!$A:$A,0)-1,0))</f>
        <v/>
      </c>
      <c r="F18" s="1">
        <f ca="1">IF(OR(Net_PositivesOnly!F18="",Net_PositivesOnly!F18=0,Net_PositivesOnly!F18&lt;10000),"",
Net_PositivesOnly!F18/OFFSET(Country_Pop!$C$1,MATCH(Per_1000!F$2,Country_Pop!$A:$A,0)-1,0))</f>
        <v>0.36877314772999042</v>
      </c>
      <c r="G18" s="1" t="str">
        <f ca="1">IF(OR(Net_PositivesOnly!G18="",Net_PositivesOnly!G18=0,Net_PositivesOnly!G18&lt;10000),"",
Net_PositivesOnly!G18/OFFSET(Country_Pop!$C$1,MATCH(Per_1000!G$2,Country_Pop!$A:$A,0)-1,0))</f>
        <v/>
      </c>
      <c r="H18" s="1" t="str">
        <f ca="1">IF(OR(Net_PositivesOnly!H18="",Net_PositivesOnly!H18=0,Net_PositivesOnly!H18&lt;10000),"",
Net_PositivesOnly!H18/OFFSET(Country_Pop!$C$1,MATCH(Per_1000!H$2,Country_Pop!$A:$A,0)-1,0))</f>
        <v/>
      </c>
      <c r="I18" s="1" t="str">
        <f ca="1">IF(OR(Net_PositivesOnly!I18="",Net_PositivesOnly!I18=0,Net_PositivesOnly!I18&lt;10000),"",
Net_PositivesOnly!I18/OFFSET(Country_Pop!$C$1,MATCH(Per_1000!I$2,Country_Pop!$A:$A,0)-1,0))</f>
        <v/>
      </c>
      <c r="J18" s="1" t="str">
        <f ca="1">IF(OR(Net_PositivesOnly!J18="",Net_PositivesOnly!J18=0,Net_PositivesOnly!J18&lt;10000),"",
Net_PositivesOnly!J18/OFFSET(Country_Pop!$C$1,MATCH(Per_1000!J$2,Country_Pop!$A:$A,0)-1,0))</f>
        <v/>
      </c>
      <c r="K18" s="1" t="str">
        <f ca="1">IF(OR(Net_PositivesOnly!K18="",Net_PositivesOnly!K18=0,Net_PositivesOnly!K18&lt;10000),"",
Net_PositivesOnly!K18/OFFSET(Country_Pop!$C$1,MATCH(Per_1000!K$2,Country_Pop!$A:$A,0)-1,0))</f>
        <v/>
      </c>
      <c r="L18" s="1" t="str">
        <f ca="1">IF(OR(Net_PositivesOnly!L18="",Net_PositivesOnly!L18=0,Net_PositivesOnly!L18&lt;10000),"",
Net_PositivesOnly!L18/OFFSET(Country_Pop!$C$1,MATCH(Per_1000!L$2,Country_Pop!$A:$A,0)-1,0))</f>
        <v/>
      </c>
      <c r="M18" s="1" t="str">
        <f ca="1">IF(OR(Net_PositivesOnly!M18="",Net_PositivesOnly!M18=0,Net_PositivesOnly!M18&lt;10000),"",
Net_PositivesOnly!M18/OFFSET(Country_Pop!$C$1,MATCH(Per_1000!M$2,Country_Pop!$A:$A,0)-1,0))</f>
        <v/>
      </c>
      <c r="N18" s="1" t="str">
        <f ca="1">IF(OR(Net_PositivesOnly!N18="",Net_PositivesOnly!N18=0,Net_PositivesOnly!N18&lt;10000),"",
Net_PositivesOnly!N18/OFFSET(Country_Pop!$C$1,MATCH(Per_1000!N$2,Country_Pop!$A:$A,0)-1,0))</f>
        <v/>
      </c>
      <c r="O18" s="1" t="str">
        <f ca="1">IF(OR(Net_PositivesOnly!O18="",Net_PositivesOnly!O18=0,Net_PositivesOnly!O18&lt;10000),"",
Net_PositivesOnly!O18/OFFSET(Country_Pop!$C$1,MATCH(Per_1000!O$2,Country_Pop!$A:$A,0)-1,0))</f>
        <v/>
      </c>
      <c r="P18" s="1" t="str">
        <f ca="1">IF(OR(Net_PositivesOnly!P18="",Net_PositivesOnly!P18=0,Net_PositivesOnly!P18&lt;10000),"",
Net_PositivesOnly!P18/OFFSET(Country_Pop!$C$1,MATCH(Per_1000!P$2,Country_Pop!$A:$A,0)-1,0))</f>
        <v/>
      </c>
      <c r="Q18" s="1" t="str">
        <f ca="1">IF(OR(Net_PositivesOnly!Q18="",Net_PositivesOnly!Q18=0,Net_PositivesOnly!Q18&lt;10000),"",
Net_PositivesOnly!Q18/OFFSET(Country_Pop!$C$1,MATCH(Per_1000!Q$2,Country_Pop!$A:$A,0)-1,0))</f>
        <v/>
      </c>
      <c r="R18" s="1" t="str">
        <f ca="1">IF(OR(Net_PositivesOnly!R18="",Net_PositivesOnly!R18=0,Net_PositivesOnly!R18&lt;10000),"",
Net_PositivesOnly!R18/OFFSET(Country_Pop!$C$1,MATCH(Per_1000!R$2,Country_Pop!$A:$A,0)-1,0))</f>
        <v/>
      </c>
      <c r="S18" s="1">
        <f ca="1">IF(OR(Net_PositivesOnly!S18="",Net_PositivesOnly!S18=0,Net_PositivesOnly!S18&lt;10000),"",
Net_PositivesOnly!S18/OFFSET(Country_Pop!$C$1,MATCH(Per_1000!S$2,Country_Pop!$A:$A,0)-1,0))</f>
        <v>0.55507647659809634</v>
      </c>
      <c r="T18" s="1" t="str">
        <f ca="1">IF(OR(Net_PositivesOnly!T18="",Net_PositivesOnly!T18=0,Net_PositivesOnly!T18&lt;10000),"",
Net_PositivesOnly!T18/OFFSET(Country_Pop!$C$1,MATCH(Per_1000!T$2,Country_Pop!$A:$A,0)-1,0))</f>
        <v/>
      </c>
      <c r="U18" s="1">
        <f ca="1">IF(OR(Net_PositivesOnly!U18="",Net_PositivesOnly!U18=0,Net_PositivesOnly!U18&lt;10000),"",
Net_PositivesOnly!U18/OFFSET(Country_Pop!$C$1,MATCH(Per_1000!U$2,Country_Pop!$A:$A,0)-1,0))</f>
        <v>1.3982374896452401</v>
      </c>
    </row>
    <row r="19" spans="1:21" ht="15" customHeight="1" x14ac:dyDescent="0.35">
      <c r="A19" s="16"/>
      <c r="B19" s="2" t="s">
        <v>16</v>
      </c>
      <c r="C19" s="1" t="str">
        <f ca="1">IF(OR(Net_PositivesOnly!C19="",Net_PositivesOnly!C19=0,Net_PositivesOnly!C19&lt;10000),"",
Net_PositivesOnly!C19/OFFSET(Country_Pop!$C$1,MATCH(Per_1000!C$2,Country_Pop!$A:$A,0)-1,0))</f>
        <v/>
      </c>
      <c r="D19" s="1" t="str">
        <f ca="1">IF(OR(Net_PositivesOnly!D19="",Net_PositivesOnly!D19=0,Net_PositivesOnly!D19&lt;10000),"",
Net_PositivesOnly!D19/OFFSET(Country_Pop!$C$1,MATCH(Per_1000!D$2,Country_Pop!$A:$A,0)-1,0))</f>
        <v/>
      </c>
      <c r="E19" s="1" t="str">
        <f ca="1">IF(OR(Net_PositivesOnly!E19="",Net_PositivesOnly!E19=0,Net_PositivesOnly!E19&lt;10000),"",
Net_PositivesOnly!E19/OFFSET(Country_Pop!$C$1,MATCH(Per_1000!E$2,Country_Pop!$A:$A,0)-1,0))</f>
        <v/>
      </c>
      <c r="F19" s="1" t="str">
        <f ca="1">IF(OR(Net_PositivesOnly!F19="",Net_PositivesOnly!F19=0,Net_PositivesOnly!F19&lt;10000),"",
Net_PositivesOnly!F19/OFFSET(Country_Pop!$C$1,MATCH(Per_1000!F$2,Country_Pop!$A:$A,0)-1,0))</f>
        <v/>
      </c>
      <c r="G19" s="1" t="str">
        <f ca="1">IF(OR(Net_PositivesOnly!G19="",Net_PositivesOnly!G19=0,Net_PositivesOnly!G19&lt;10000),"",
Net_PositivesOnly!G19/OFFSET(Country_Pop!$C$1,MATCH(Per_1000!G$2,Country_Pop!$A:$A,0)-1,0))</f>
        <v/>
      </c>
      <c r="H19" s="1" t="str">
        <f ca="1">IF(OR(Net_PositivesOnly!H19="",Net_PositivesOnly!H19=0,Net_PositivesOnly!H19&lt;10000),"",
Net_PositivesOnly!H19/OFFSET(Country_Pop!$C$1,MATCH(Per_1000!H$2,Country_Pop!$A:$A,0)-1,0))</f>
        <v/>
      </c>
      <c r="I19" s="1" t="str">
        <f ca="1">IF(OR(Net_PositivesOnly!I19="",Net_PositivesOnly!I19=0,Net_PositivesOnly!I19&lt;10000),"",
Net_PositivesOnly!I19/OFFSET(Country_Pop!$C$1,MATCH(Per_1000!I$2,Country_Pop!$A:$A,0)-1,0))</f>
        <v/>
      </c>
      <c r="J19" s="1" t="str">
        <f ca="1">IF(OR(Net_PositivesOnly!J19="",Net_PositivesOnly!J19=0,Net_PositivesOnly!J19&lt;10000),"",
Net_PositivesOnly!J19/OFFSET(Country_Pop!$C$1,MATCH(Per_1000!J$2,Country_Pop!$A:$A,0)-1,0))</f>
        <v/>
      </c>
      <c r="K19" s="1" t="str">
        <f ca="1">IF(OR(Net_PositivesOnly!K19="",Net_PositivesOnly!K19=0,Net_PositivesOnly!K19&lt;10000),"",
Net_PositivesOnly!K19/OFFSET(Country_Pop!$C$1,MATCH(Per_1000!K$2,Country_Pop!$A:$A,0)-1,0))</f>
        <v/>
      </c>
      <c r="L19" s="1" t="str">
        <f ca="1">IF(OR(Net_PositivesOnly!L19="",Net_PositivesOnly!L19=0,Net_PositivesOnly!L19&lt;10000),"",
Net_PositivesOnly!L19/OFFSET(Country_Pop!$C$1,MATCH(Per_1000!L$2,Country_Pop!$A:$A,0)-1,0))</f>
        <v/>
      </c>
      <c r="M19" s="1" t="str">
        <f ca="1">IF(OR(Net_PositivesOnly!M19="",Net_PositivesOnly!M19=0,Net_PositivesOnly!M19&lt;10000),"",
Net_PositivesOnly!M19/OFFSET(Country_Pop!$C$1,MATCH(Per_1000!M$2,Country_Pop!$A:$A,0)-1,0))</f>
        <v/>
      </c>
      <c r="N19" s="1" t="str">
        <f ca="1">IF(OR(Net_PositivesOnly!N19="",Net_PositivesOnly!N19=0,Net_PositivesOnly!N19&lt;10000),"",
Net_PositivesOnly!N19/OFFSET(Country_Pop!$C$1,MATCH(Per_1000!N$2,Country_Pop!$A:$A,0)-1,0))</f>
        <v/>
      </c>
      <c r="O19" s="1" t="str">
        <f ca="1">IF(OR(Net_PositivesOnly!O19="",Net_PositivesOnly!O19=0,Net_PositivesOnly!O19&lt;10000),"",
Net_PositivesOnly!O19/OFFSET(Country_Pop!$C$1,MATCH(Per_1000!O$2,Country_Pop!$A:$A,0)-1,0))</f>
        <v/>
      </c>
      <c r="P19" s="1" t="str">
        <f ca="1">IF(OR(Net_PositivesOnly!P19="",Net_PositivesOnly!P19=0,Net_PositivesOnly!P19&lt;10000),"",
Net_PositivesOnly!P19/OFFSET(Country_Pop!$C$1,MATCH(Per_1000!P$2,Country_Pop!$A:$A,0)-1,0))</f>
        <v/>
      </c>
      <c r="Q19" s="1" t="str">
        <f ca="1">IF(OR(Net_PositivesOnly!Q19="",Net_PositivesOnly!Q19=0,Net_PositivesOnly!Q19&lt;10000),"",
Net_PositivesOnly!Q19/OFFSET(Country_Pop!$C$1,MATCH(Per_1000!Q$2,Country_Pop!$A:$A,0)-1,0))</f>
        <v/>
      </c>
      <c r="R19" s="1" t="str">
        <f ca="1">IF(OR(Net_PositivesOnly!R19="",Net_PositivesOnly!R19=0,Net_PositivesOnly!R19&lt;10000),"",
Net_PositivesOnly!R19/OFFSET(Country_Pop!$C$1,MATCH(Per_1000!R$2,Country_Pop!$A:$A,0)-1,0))</f>
        <v/>
      </c>
      <c r="S19" s="1" t="str">
        <f ca="1">IF(OR(Net_PositivesOnly!S19="",Net_PositivesOnly!S19=0,Net_PositivesOnly!S19&lt;10000),"",
Net_PositivesOnly!S19/OFFSET(Country_Pop!$C$1,MATCH(Per_1000!S$2,Country_Pop!$A:$A,0)-1,0))</f>
        <v/>
      </c>
      <c r="T19" s="1" t="str">
        <f ca="1">IF(OR(Net_PositivesOnly!T19="",Net_PositivesOnly!T19=0,Net_PositivesOnly!T19&lt;10000),"",
Net_PositivesOnly!T19/OFFSET(Country_Pop!$C$1,MATCH(Per_1000!T$2,Country_Pop!$A:$A,0)-1,0))</f>
        <v/>
      </c>
      <c r="U19" s="1" t="str">
        <f ca="1">IF(OR(Net_PositivesOnly!U19="",Net_PositivesOnly!U19=0,Net_PositivesOnly!U19&lt;10000),"",
Net_PositivesOnly!U19/OFFSET(Country_Pop!$C$1,MATCH(Per_1000!U$2,Country_Pop!$A:$A,0)-1,0))</f>
        <v/>
      </c>
    </row>
    <row r="20" spans="1:21" ht="15" customHeight="1" x14ac:dyDescent="0.35">
      <c r="A20" s="16"/>
      <c r="B20" s="2" t="s">
        <v>17</v>
      </c>
      <c r="C20" s="1">
        <f ca="1">IF(OR(Net_PositivesOnly!C20="",Net_PositivesOnly!C20=0,Net_PositivesOnly!C20&lt;10000),"",
Net_PositivesOnly!C20/OFFSET(Country_Pop!$C$1,MATCH(Per_1000!C$2,Country_Pop!$A:$A,0)-1,0))</f>
        <v>3.7351133688892686</v>
      </c>
      <c r="D20" s="1" t="str">
        <f ca="1">IF(OR(Net_PositivesOnly!D20="",Net_PositivesOnly!D20=0,Net_PositivesOnly!D20&lt;10000),"",
Net_PositivesOnly!D20/OFFSET(Country_Pop!$C$1,MATCH(Per_1000!D$2,Country_Pop!$A:$A,0)-1,0))</f>
        <v/>
      </c>
      <c r="E20" s="1">
        <f ca="1">IF(OR(Net_PositivesOnly!E20="",Net_PositivesOnly!E20=0,Net_PositivesOnly!E20&lt;10000),"",
Net_PositivesOnly!E20/OFFSET(Country_Pop!$C$1,MATCH(Per_1000!E$2,Country_Pop!$A:$A,0)-1,0))</f>
        <v>0.15378506336824974</v>
      </c>
      <c r="F20" s="1" t="str">
        <f ca="1">IF(OR(Net_PositivesOnly!F20="",Net_PositivesOnly!F20=0,Net_PositivesOnly!F20&lt;10000),"",
Net_PositivesOnly!F20/OFFSET(Country_Pop!$C$1,MATCH(Per_1000!F$2,Country_Pop!$A:$A,0)-1,0))</f>
        <v/>
      </c>
      <c r="G20" s="1" t="str">
        <f ca="1">IF(OR(Net_PositivesOnly!G20="",Net_PositivesOnly!G20=0,Net_PositivesOnly!G20&lt;10000),"",
Net_PositivesOnly!G20/OFFSET(Country_Pop!$C$1,MATCH(Per_1000!G$2,Country_Pop!$A:$A,0)-1,0))</f>
        <v/>
      </c>
      <c r="H20" s="1" t="str">
        <f ca="1">IF(OR(Net_PositivesOnly!H20="",Net_PositivesOnly!H20=0,Net_PositivesOnly!H20&lt;10000),"",
Net_PositivesOnly!H20/OFFSET(Country_Pop!$C$1,MATCH(Per_1000!H$2,Country_Pop!$A:$A,0)-1,0))</f>
        <v/>
      </c>
      <c r="I20" s="1" t="str">
        <f ca="1">IF(OR(Net_PositivesOnly!I20="",Net_PositivesOnly!I20=0,Net_PositivesOnly!I20&lt;10000),"",
Net_PositivesOnly!I20/OFFSET(Country_Pop!$C$1,MATCH(Per_1000!I$2,Country_Pop!$A:$A,0)-1,0))</f>
        <v/>
      </c>
      <c r="J20" s="1" t="str">
        <f ca="1">IF(OR(Net_PositivesOnly!J20="",Net_PositivesOnly!J20=0,Net_PositivesOnly!J20&lt;10000),"",
Net_PositivesOnly!J20/OFFSET(Country_Pop!$C$1,MATCH(Per_1000!J$2,Country_Pop!$A:$A,0)-1,0))</f>
        <v/>
      </c>
      <c r="K20" s="1" t="str">
        <f ca="1">IF(OR(Net_PositivesOnly!K20="",Net_PositivesOnly!K20=0,Net_PositivesOnly!K20&lt;10000),"",
Net_PositivesOnly!K20/OFFSET(Country_Pop!$C$1,MATCH(Per_1000!K$2,Country_Pop!$A:$A,0)-1,0))</f>
        <v/>
      </c>
      <c r="L20" s="1" t="str">
        <f ca="1">IF(OR(Net_PositivesOnly!L20="",Net_PositivesOnly!L20=0,Net_PositivesOnly!L20&lt;10000),"",
Net_PositivesOnly!L20/OFFSET(Country_Pop!$C$1,MATCH(Per_1000!L$2,Country_Pop!$A:$A,0)-1,0))</f>
        <v/>
      </c>
      <c r="M20" s="1" t="str">
        <f ca="1">IF(OR(Net_PositivesOnly!M20="",Net_PositivesOnly!M20=0,Net_PositivesOnly!M20&lt;10000),"",
Net_PositivesOnly!M20/OFFSET(Country_Pop!$C$1,MATCH(Per_1000!M$2,Country_Pop!$A:$A,0)-1,0))</f>
        <v/>
      </c>
      <c r="N20" s="1" t="str">
        <f ca="1">IF(OR(Net_PositivesOnly!N20="",Net_PositivesOnly!N20=0,Net_PositivesOnly!N20&lt;10000),"",
Net_PositivesOnly!N20/OFFSET(Country_Pop!$C$1,MATCH(Per_1000!N$2,Country_Pop!$A:$A,0)-1,0))</f>
        <v/>
      </c>
      <c r="O20" s="1" t="str">
        <f ca="1">IF(OR(Net_PositivesOnly!O20="",Net_PositivesOnly!O20=0,Net_PositivesOnly!O20&lt;10000),"",
Net_PositivesOnly!O20/OFFSET(Country_Pop!$C$1,MATCH(Per_1000!O$2,Country_Pop!$A:$A,0)-1,0))</f>
        <v/>
      </c>
      <c r="P20" s="1" t="str">
        <f ca="1">IF(OR(Net_PositivesOnly!P20="",Net_PositivesOnly!P20=0,Net_PositivesOnly!P20&lt;10000),"",
Net_PositivesOnly!P20/OFFSET(Country_Pop!$C$1,MATCH(Per_1000!P$2,Country_Pop!$A:$A,0)-1,0))</f>
        <v/>
      </c>
      <c r="Q20" s="1" t="str">
        <f ca="1">IF(OR(Net_PositivesOnly!Q20="",Net_PositivesOnly!Q20=0,Net_PositivesOnly!Q20&lt;10000),"",
Net_PositivesOnly!Q20/OFFSET(Country_Pop!$C$1,MATCH(Per_1000!Q$2,Country_Pop!$A:$A,0)-1,0))</f>
        <v/>
      </c>
      <c r="R20" s="1" t="str">
        <f ca="1">IF(OR(Net_PositivesOnly!R20="",Net_PositivesOnly!R20=0,Net_PositivesOnly!R20&lt;10000),"",
Net_PositivesOnly!R20/OFFSET(Country_Pop!$C$1,MATCH(Per_1000!R$2,Country_Pop!$A:$A,0)-1,0))</f>
        <v/>
      </c>
      <c r="S20" s="1">
        <f ca="1">IF(OR(Net_PositivesOnly!S20="",Net_PositivesOnly!S20=0,Net_PositivesOnly!S20&lt;10000),"",
Net_PositivesOnly!S20/OFFSET(Country_Pop!$C$1,MATCH(Per_1000!S$2,Country_Pop!$A:$A,0)-1,0))</f>
        <v>7.736323358582553E-2</v>
      </c>
      <c r="T20" s="1" t="str">
        <f ca="1">IF(OR(Net_PositivesOnly!T20="",Net_PositivesOnly!T20=0,Net_PositivesOnly!T20&lt;10000),"",
Net_PositivesOnly!T20/OFFSET(Country_Pop!$C$1,MATCH(Per_1000!T$2,Country_Pop!$A:$A,0)-1,0))</f>
        <v/>
      </c>
      <c r="U20" s="1" t="str">
        <f ca="1">IF(OR(Net_PositivesOnly!U20="",Net_PositivesOnly!U20=0,Net_PositivesOnly!U20&lt;10000),"",
Net_PositivesOnly!U20/OFFSET(Country_Pop!$C$1,MATCH(Per_1000!U$2,Country_Pop!$A:$A,0)-1,0))</f>
        <v/>
      </c>
    </row>
    <row r="21" spans="1:21" x14ac:dyDescent="0.35">
      <c r="A21" s="16"/>
      <c r="B21" s="2" t="s">
        <v>18</v>
      </c>
      <c r="C21" s="1" t="str">
        <f ca="1">IF(OR(Net_PositivesOnly!C21="",Net_PositivesOnly!C21=0,Net_PositivesOnly!C21&lt;10000),"",
Net_PositivesOnly!C21/OFFSET(Country_Pop!$C$1,MATCH(Per_1000!C$2,Country_Pop!$A:$A,0)-1,0))</f>
        <v/>
      </c>
      <c r="D21" s="1" t="str">
        <f ca="1">IF(OR(Net_PositivesOnly!D21="",Net_PositivesOnly!D21=0,Net_PositivesOnly!D21&lt;10000),"",
Net_PositivesOnly!D21/OFFSET(Country_Pop!$C$1,MATCH(Per_1000!D$2,Country_Pop!$A:$A,0)-1,0))</f>
        <v/>
      </c>
      <c r="E21" s="1" t="str">
        <f ca="1">IF(OR(Net_PositivesOnly!E21="",Net_PositivesOnly!E21=0,Net_PositivesOnly!E21&lt;10000),"",
Net_PositivesOnly!E21/OFFSET(Country_Pop!$C$1,MATCH(Per_1000!E$2,Country_Pop!$A:$A,0)-1,0))</f>
        <v/>
      </c>
      <c r="F21" s="1" t="str">
        <f ca="1">IF(OR(Net_PositivesOnly!F21="",Net_PositivesOnly!F21=0,Net_PositivesOnly!F21&lt;10000),"",
Net_PositivesOnly!F21/OFFSET(Country_Pop!$C$1,MATCH(Per_1000!F$2,Country_Pop!$A:$A,0)-1,0))</f>
        <v/>
      </c>
      <c r="G21" s="1" t="str">
        <f ca="1">IF(OR(Net_PositivesOnly!G21="",Net_PositivesOnly!G21=0,Net_PositivesOnly!G21&lt;10000),"",
Net_PositivesOnly!G21/OFFSET(Country_Pop!$C$1,MATCH(Per_1000!G$2,Country_Pop!$A:$A,0)-1,0))</f>
        <v/>
      </c>
      <c r="H21" s="1" t="str">
        <f ca="1">IF(OR(Net_PositivesOnly!H21="",Net_PositivesOnly!H21=0,Net_PositivesOnly!H21&lt;10000),"",
Net_PositivesOnly!H21/OFFSET(Country_Pop!$C$1,MATCH(Per_1000!H$2,Country_Pop!$A:$A,0)-1,0))</f>
        <v/>
      </c>
      <c r="I21" s="1" t="str">
        <f ca="1">IF(OR(Net_PositivesOnly!I21="",Net_PositivesOnly!I21=0,Net_PositivesOnly!I21&lt;10000),"",
Net_PositivesOnly!I21/OFFSET(Country_Pop!$C$1,MATCH(Per_1000!I$2,Country_Pop!$A:$A,0)-1,0))</f>
        <v/>
      </c>
      <c r="J21" s="1" t="str">
        <f ca="1">IF(OR(Net_PositivesOnly!J21="",Net_PositivesOnly!J21=0,Net_PositivesOnly!J21&lt;10000),"",
Net_PositivesOnly!J21/OFFSET(Country_Pop!$C$1,MATCH(Per_1000!J$2,Country_Pop!$A:$A,0)-1,0))</f>
        <v/>
      </c>
      <c r="K21" s="1" t="str">
        <f ca="1">IF(OR(Net_PositivesOnly!K21="",Net_PositivesOnly!K21=0,Net_PositivesOnly!K21&lt;10000),"",
Net_PositivesOnly!K21/OFFSET(Country_Pop!$C$1,MATCH(Per_1000!K$2,Country_Pop!$A:$A,0)-1,0))</f>
        <v/>
      </c>
      <c r="L21" s="1" t="str">
        <f ca="1">IF(OR(Net_PositivesOnly!L21="",Net_PositivesOnly!L21=0,Net_PositivesOnly!L21&lt;10000),"",
Net_PositivesOnly!L21/OFFSET(Country_Pop!$C$1,MATCH(Per_1000!L$2,Country_Pop!$A:$A,0)-1,0))</f>
        <v/>
      </c>
      <c r="M21" s="1" t="str">
        <f ca="1">IF(OR(Net_PositivesOnly!M21="",Net_PositivesOnly!M21=0,Net_PositivesOnly!M21&lt;10000),"",
Net_PositivesOnly!M21/OFFSET(Country_Pop!$C$1,MATCH(Per_1000!M$2,Country_Pop!$A:$A,0)-1,0))</f>
        <v/>
      </c>
      <c r="N21" s="1" t="str">
        <f ca="1">IF(OR(Net_PositivesOnly!N21="",Net_PositivesOnly!N21=0,Net_PositivesOnly!N21&lt;10000),"",
Net_PositivesOnly!N21/OFFSET(Country_Pop!$C$1,MATCH(Per_1000!N$2,Country_Pop!$A:$A,0)-1,0))</f>
        <v/>
      </c>
      <c r="O21" s="1" t="str">
        <f ca="1">IF(OR(Net_PositivesOnly!O21="",Net_PositivesOnly!O21=0,Net_PositivesOnly!O21&lt;10000),"",
Net_PositivesOnly!O21/OFFSET(Country_Pop!$C$1,MATCH(Per_1000!O$2,Country_Pop!$A:$A,0)-1,0))</f>
        <v/>
      </c>
      <c r="P21" s="1" t="str">
        <f ca="1">IF(OR(Net_PositivesOnly!P21="",Net_PositivesOnly!P21=0,Net_PositivesOnly!P21&lt;10000),"",
Net_PositivesOnly!P21/OFFSET(Country_Pop!$C$1,MATCH(Per_1000!P$2,Country_Pop!$A:$A,0)-1,0))</f>
        <v/>
      </c>
      <c r="Q21" s="1" t="str">
        <f ca="1">IF(OR(Net_PositivesOnly!Q21="",Net_PositivesOnly!Q21=0,Net_PositivesOnly!Q21&lt;10000),"",
Net_PositivesOnly!Q21/OFFSET(Country_Pop!$C$1,MATCH(Per_1000!Q$2,Country_Pop!$A:$A,0)-1,0))</f>
        <v/>
      </c>
      <c r="R21" s="1" t="str">
        <f ca="1">IF(OR(Net_PositivesOnly!R21="",Net_PositivesOnly!R21=0,Net_PositivesOnly!R21&lt;10000),"",
Net_PositivesOnly!R21/OFFSET(Country_Pop!$C$1,MATCH(Per_1000!R$2,Country_Pop!$A:$A,0)-1,0))</f>
        <v/>
      </c>
      <c r="S21" s="1">
        <f ca="1">IF(OR(Net_PositivesOnly!S21="",Net_PositivesOnly!S21=0,Net_PositivesOnly!S21&lt;10000),"",
Net_PositivesOnly!S21/OFFSET(Country_Pop!$C$1,MATCH(Per_1000!S$2,Country_Pop!$A:$A,0)-1,0))</f>
        <v>0.12255243280993514</v>
      </c>
      <c r="T21" s="1" t="str">
        <f ca="1">IF(OR(Net_PositivesOnly!T21="",Net_PositivesOnly!T21=0,Net_PositivesOnly!T21&lt;10000),"",
Net_PositivesOnly!T21/OFFSET(Country_Pop!$C$1,MATCH(Per_1000!T$2,Country_Pop!$A:$A,0)-1,0))</f>
        <v/>
      </c>
      <c r="U21" s="1" t="str">
        <f ca="1">IF(OR(Net_PositivesOnly!U21="",Net_PositivesOnly!U21=0,Net_PositivesOnly!U21&lt;10000),"",
Net_PositivesOnly!U21/OFFSET(Country_Pop!$C$1,MATCH(Per_1000!U$2,Country_Pop!$A:$A,0)-1,0))</f>
        <v/>
      </c>
    </row>
    <row r="22" spans="1:21" x14ac:dyDescent="0.35">
      <c r="Q22" t="s">
        <v>19</v>
      </c>
    </row>
    <row r="25" spans="1:21" x14ac:dyDescent="0.35">
      <c r="T25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9FAD-61DF-4102-9DA9-08FFE2FD52B9}">
  <dimension ref="A1:C20"/>
  <sheetViews>
    <sheetView workbookViewId="0">
      <selection activeCell="C1" sqref="C1"/>
    </sheetView>
  </sheetViews>
  <sheetFormatPr defaultRowHeight="14.5" x14ac:dyDescent="0.35"/>
  <cols>
    <col min="1" max="1" width="11.54296875" customWidth="1"/>
    <col min="2" max="2" width="15.54296875" customWidth="1"/>
  </cols>
  <sheetData>
    <row r="1" spans="1:3" x14ac:dyDescent="0.35">
      <c r="A1" s="12" t="s">
        <v>22</v>
      </c>
      <c r="B1" s="12" t="s">
        <v>23</v>
      </c>
      <c r="C1" s="12" t="s">
        <v>24</v>
      </c>
    </row>
    <row r="2" spans="1:3" x14ac:dyDescent="0.35">
      <c r="A2" t="s">
        <v>0</v>
      </c>
      <c r="B2">
        <v>32755900</v>
      </c>
      <c r="C2">
        <f>B2/1000</f>
        <v>32755.9</v>
      </c>
    </row>
    <row r="3" spans="1:3" x14ac:dyDescent="0.35">
      <c r="A3" t="s">
        <v>1</v>
      </c>
      <c r="B3">
        <v>7096193</v>
      </c>
      <c r="C3">
        <f t="shared" ref="C3:C20" si="0">B3/1000</f>
        <v>7096.1930000000002</v>
      </c>
    </row>
    <row r="4" spans="1:3" x14ac:dyDescent="0.35">
      <c r="A4" t="s">
        <v>2</v>
      </c>
      <c r="B4">
        <v>149143223</v>
      </c>
      <c r="C4">
        <f t="shared" si="0"/>
        <v>149143.223</v>
      </c>
    </row>
    <row r="5" spans="1:3" x14ac:dyDescent="0.35">
      <c r="A5" t="s">
        <v>3</v>
      </c>
      <c r="B5">
        <v>27789442</v>
      </c>
      <c r="C5">
        <f t="shared" si="0"/>
        <v>27789.441999999999</v>
      </c>
    </row>
    <row r="6" spans="1:3" x14ac:dyDescent="0.35">
      <c r="A6" t="s">
        <v>4</v>
      </c>
      <c r="B6">
        <v>13437176</v>
      </c>
      <c r="C6">
        <f t="shared" si="0"/>
        <v>13437.175999999999</v>
      </c>
    </row>
    <row r="7" spans="1:3" x14ac:dyDescent="0.35">
      <c r="A7" t="s">
        <v>5</v>
      </c>
      <c r="B7">
        <v>32440068</v>
      </c>
      <c r="C7">
        <f t="shared" si="0"/>
        <v>32440.067999999999</v>
      </c>
    </row>
    <row r="8" spans="1:3" x14ac:dyDescent="0.35">
      <c r="A8" t="s">
        <v>6</v>
      </c>
      <c r="B8">
        <v>3158253</v>
      </c>
      <c r="C8">
        <f t="shared" si="0"/>
        <v>3158.2530000000002</v>
      </c>
    </row>
    <row r="9" spans="1:3" x14ac:dyDescent="0.35">
      <c r="A9" t="s">
        <v>7</v>
      </c>
      <c r="B9">
        <v>10473672</v>
      </c>
      <c r="C9">
        <f t="shared" si="0"/>
        <v>10473.672</v>
      </c>
    </row>
    <row r="10" spans="1:3" x14ac:dyDescent="0.35">
      <c r="A10" t="s">
        <v>8</v>
      </c>
      <c r="B10">
        <v>5399726</v>
      </c>
      <c r="C10">
        <f t="shared" si="0"/>
        <v>5399.7259999999997</v>
      </c>
    </row>
    <row r="11" spans="1:3" x14ac:dyDescent="0.35">
      <c r="A11" t="s">
        <v>9</v>
      </c>
      <c r="B11">
        <v>9024773</v>
      </c>
      <c r="C11">
        <f t="shared" si="0"/>
        <v>9024.7729999999992</v>
      </c>
    </row>
    <row r="12" spans="1:3" x14ac:dyDescent="0.35">
      <c r="A12" t="s">
        <v>10</v>
      </c>
      <c r="B12">
        <v>4980487</v>
      </c>
      <c r="C12">
        <f t="shared" si="0"/>
        <v>4980.4870000000001</v>
      </c>
    </row>
    <row r="13" spans="1:3" x14ac:dyDescent="0.35">
      <c r="A13" t="s">
        <v>11</v>
      </c>
      <c r="B13">
        <v>81249645</v>
      </c>
      <c r="C13">
        <f t="shared" si="0"/>
        <v>81249.645000000004</v>
      </c>
    </row>
    <row r="14" spans="1:3" x14ac:dyDescent="0.35">
      <c r="A14" t="s">
        <v>12</v>
      </c>
      <c r="B14">
        <v>4162558</v>
      </c>
      <c r="C14">
        <f t="shared" si="0"/>
        <v>4162.558</v>
      </c>
    </row>
    <row r="15" spans="1:3" x14ac:dyDescent="0.35">
      <c r="A15" t="s">
        <v>13</v>
      </c>
      <c r="B15">
        <v>2455583</v>
      </c>
      <c r="C15">
        <f t="shared" si="0"/>
        <v>2455.5830000000001</v>
      </c>
    </row>
    <row r="16" spans="1:3" x14ac:dyDescent="0.35">
      <c r="A16" t="s">
        <v>14</v>
      </c>
      <c r="B16">
        <v>4059194</v>
      </c>
      <c r="C16">
        <f t="shared" si="0"/>
        <v>4059.194</v>
      </c>
    </row>
    <row r="17" spans="1:3" x14ac:dyDescent="0.35">
      <c r="A17" t="s">
        <v>15</v>
      </c>
      <c r="B17">
        <v>22014771</v>
      </c>
      <c r="C17">
        <f t="shared" si="0"/>
        <v>22014.771000000001</v>
      </c>
    </row>
    <row r="18" spans="1:3" x14ac:dyDescent="0.35">
      <c r="A18" t="s">
        <v>16</v>
      </c>
      <c r="B18">
        <v>248709873</v>
      </c>
      <c r="C18">
        <f t="shared" si="0"/>
        <v>248709.87299999999</v>
      </c>
    </row>
    <row r="19" spans="1:3" x14ac:dyDescent="0.35">
      <c r="A19" t="s">
        <v>17</v>
      </c>
      <c r="B19">
        <v>3117012</v>
      </c>
      <c r="C19">
        <f t="shared" si="0"/>
        <v>3117.0120000000002</v>
      </c>
    </row>
    <row r="20" spans="1:3" x14ac:dyDescent="0.35">
      <c r="A20" t="s">
        <v>18</v>
      </c>
      <c r="B20">
        <v>19750579</v>
      </c>
      <c r="C20">
        <f t="shared" si="0"/>
        <v>19750.579000000002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DA29-D7F5-4519-A10C-561E4B56F322}">
  <sheetPr codeName="Sheet4"/>
  <dimension ref="A1:U30"/>
  <sheetViews>
    <sheetView tabSelected="1" zoomScale="60" zoomScaleNormal="60" workbookViewId="0">
      <selection activeCell="C4" sqref="C4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4" t="s">
        <v>20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x14ac:dyDescent="0.35">
      <c r="A3" s="17" t="s">
        <v>21</v>
      </c>
      <c r="B3" s="2" t="s">
        <v>0</v>
      </c>
      <c r="C3" s="4">
        <f>IF(OR(Net!C3=0,Net!C3="NA"),0,
IF(Net!C3&gt;=10000,1,0))</f>
        <v>0</v>
      </c>
      <c r="D3" s="4">
        <f>IF(OR(Net!D3=0,Net!D3="NA"),0,
IF(Net!D3&gt;=10000,1,0))</f>
        <v>0</v>
      </c>
      <c r="E3" s="4">
        <f>IF(OR(Net!E3=0,Net!E3="NA"),0,
IF(Net!E3&gt;=10000,1,0))</f>
        <v>0</v>
      </c>
      <c r="F3" s="4">
        <f>IF(OR(Net!F3=0,Net!F3="NA"),0,
IF(Net!F3&gt;=10000,1,0))</f>
        <v>0</v>
      </c>
      <c r="G3" s="4">
        <f>IF(OR(Net!G3=0,Net!G3="NA"),0,
IF(Net!G3&gt;=10000,1,0))</f>
        <v>0</v>
      </c>
      <c r="H3" s="4">
        <f>IF(OR(Net!H3=0,Net!H3="NA"),0,
IF(Net!H3&gt;=10000,1,0))</f>
        <v>0</v>
      </c>
      <c r="I3" s="4">
        <f>IF(OR(Net!I3=0,Net!I3="NA"),0,
IF(Net!I3&gt;=10000,1,0))</f>
        <v>0</v>
      </c>
      <c r="J3" s="4">
        <f>IF(OR(Net!J3=0,Net!J3="NA"),0,
IF(Net!J3&gt;=10000,1,0))</f>
        <v>0</v>
      </c>
      <c r="K3" s="4">
        <f>IF(OR(Net!K3=0,Net!K3="NA"),0,
IF(Net!K3&gt;=10000,1,0))</f>
        <v>0</v>
      </c>
      <c r="L3" s="4">
        <f>IF(OR(Net!L3=0,Net!L3="NA"),0,
IF(Net!L3&gt;=10000,1,0))</f>
        <v>0</v>
      </c>
      <c r="M3" s="4">
        <f>IF(OR(Net!M3=0,Net!M3="NA"),0,
IF(Net!M3&gt;=10000,1,0))</f>
        <v>0</v>
      </c>
      <c r="N3" s="4">
        <f>IF(OR(Net!N3=0,Net!N3="NA"),0,
IF(Net!N3&gt;=10000,1,0))</f>
        <v>0</v>
      </c>
      <c r="O3" s="4">
        <f>IF(OR(Net!O3=0,Net!O3="NA"),0,
IF(Net!O3&gt;=10000,1,0))</f>
        <v>0</v>
      </c>
      <c r="P3" s="4">
        <f>IF(OR(Net!P3=0,Net!P3="NA"),0,
IF(Net!P3&gt;=10000,1,0))</f>
        <v>0</v>
      </c>
      <c r="Q3" s="4">
        <f>IF(OR(Net!Q3=0,Net!Q3="NA"),0,
IF(Net!Q3&gt;=10000,1,0))</f>
        <v>0</v>
      </c>
      <c r="R3" s="4">
        <f>IF(OR(Net!R3=0,Net!R3="NA"),0,
IF(Net!R3&gt;=10000,1,0))</f>
        <v>0</v>
      </c>
      <c r="S3" s="4">
        <f>IF(OR(Net!S3=0,Net!S3="NA"),0,
IF(Net!S3&gt;=10000,1,0))</f>
        <v>1</v>
      </c>
      <c r="T3" s="4">
        <f>IF(OR(Net!T3=0,Net!T3="NA"),0,
IF(Net!T3&gt;=10000,1,0))</f>
        <v>0</v>
      </c>
      <c r="U3" s="4">
        <f>IF(OR(Net!U3=0,Net!U3="NA"),0,
IF(Net!U3&gt;=10000,1,0))</f>
        <v>0</v>
      </c>
    </row>
    <row r="4" spans="1:21" x14ac:dyDescent="0.35">
      <c r="A4" s="17"/>
      <c r="B4" s="2" t="s">
        <v>1</v>
      </c>
      <c r="C4" s="4">
        <f>IF(OR(Net!C4=0,Net!C4="NA"),0,
IF(Net!C4&gt;=10000,1,0))</f>
        <v>1</v>
      </c>
      <c r="D4" s="4">
        <f>IF(OR(Net!D4=0,Net!D4="NA"),0,
IF(Net!D4&gt;=10000,1,0))</f>
        <v>0</v>
      </c>
      <c r="E4" s="4">
        <f>IF(OR(Net!E4=0,Net!E4="NA"),0,
IF(Net!E4&gt;=10000,1,0))</f>
        <v>0</v>
      </c>
      <c r="F4" s="4">
        <f>IF(OR(Net!F4=0,Net!F4="NA"),0,
IF(Net!F4&gt;=10000,1,0))</f>
        <v>0</v>
      </c>
      <c r="G4" s="4">
        <f>IF(OR(Net!G4=0,Net!G4="NA"),0,
IF(Net!G4&gt;=10000,1,0))</f>
        <v>0</v>
      </c>
      <c r="H4" s="4">
        <f>IF(OR(Net!H4=0,Net!H4="NA"),0,
IF(Net!H4&gt;=10000,1,0))</f>
        <v>0</v>
      </c>
      <c r="I4" s="4">
        <f>IF(OR(Net!I4=0,Net!I4="NA"),0,
IF(Net!I4&gt;=10000,1,0))</f>
        <v>0</v>
      </c>
      <c r="J4" s="4">
        <f>IF(OR(Net!J4=0,Net!J4="NA"),0,
IF(Net!J4&gt;=10000,1,0))</f>
        <v>0</v>
      </c>
      <c r="K4" s="4">
        <f>IF(OR(Net!K4=0,Net!K4="NA"),0,
IF(Net!K4&gt;=10000,1,0))</f>
        <v>0</v>
      </c>
      <c r="L4" s="4">
        <f>IF(OR(Net!L4=0,Net!L4="NA"),0,
IF(Net!L4&gt;=10000,1,0))</f>
        <v>0</v>
      </c>
      <c r="M4" s="4">
        <f>IF(OR(Net!M4=0,Net!M4="NA"),0,
IF(Net!M4&gt;=10000,1,0))</f>
        <v>0</v>
      </c>
      <c r="N4" s="4">
        <f>IF(OR(Net!N4=0,Net!N4="NA"),0,
IF(Net!N4&gt;=10000,1,0))</f>
        <v>0</v>
      </c>
      <c r="O4" s="4">
        <f>IF(OR(Net!O4=0,Net!O4="NA"),0,
IF(Net!O4&gt;=10000,1,0))</f>
        <v>0</v>
      </c>
      <c r="P4" s="4">
        <f>IF(OR(Net!P4=0,Net!P4="NA"),0,
IF(Net!P4&gt;=10000,1,0))</f>
        <v>0</v>
      </c>
      <c r="Q4" s="4">
        <f>IF(OR(Net!Q4=0,Net!Q4="NA"),0,
IF(Net!Q4&gt;=10000,1,0))</f>
        <v>0</v>
      </c>
      <c r="R4" s="4">
        <f>IF(OR(Net!R4=0,Net!R4="NA"),0,
IF(Net!R4&gt;=10000,1,0))</f>
        <v>0</v>
      </c>
      <c r="S4" s="4">
        <f>IF(OR(Net!S4=0,Net!S4="NA"),0,
IF(Net!S4&gt;=10000,1,0))</f>
        <v>1</v>
      </c>
      <c r="T4" s="4">
        <f>IF(OR(Net!T4=0,Net!T4="NA"),0,
IF(Net!T4&gt;=10000,1,0))</f>
        <v>1</v>
      </c>
      <c r="U4" s="4">
        <f>IF(OR(Net!U4=0,Net!U4="NA"),0,
IF(Net!U4&gt;=10000,1,0))</f>
        <v>0</v>
      </c>
    </row>
    <row r="5" spans="1:21" x14ac:dyDescent="0.35">
      <c r="A5" s="17"/>
      <c r="B5" s="2" t="s">
        <v>2</v>
      </c>
      <c r="C5" s="4">
        <f>IF(OR(Net!C5=0,Net!C5="NA"),0,
IF(Net!C5&gt;=10000,1,0))</f>
        <v>0</v>
      </c>
      <c r="D5" s="4">
        <f>IF(OR(Net!D5=0,Net!D5="NA"),0,
IF(Net!D5&gt;=10000,1,0))</f>
        <v>0</v>
      </c>
      <c r="E5" s="4">
        <f>IF(OR(Net!E5=0,Net!E5="NA"),0,
IF(Net!E5&gt;=10000,1,0))</f>
        <v>0</v>
      </c>
      <c r="F5" s="4">
        <f>IF(OR(Net!F5=0,Net!F5="NA"),0,
IF(Net!F5&gt;=10000,1,0))</f>
        <v>0</v>
      </c>
      <c r="G5" s="4">
        <f>IF(OR(Net!G5=0,Net!G5="NA"),0,
IF(Net!G5&gt;=10000,1,0))</f>
        <v>0</v>
      </c>
      <c r="H5" s="4">
        <f>IF(OR(Net!H5=0,Net!H5="NA"),0,
IF(Net!H5&gt;=10000,1,0))</f>
        <v>0</v>
      </c>
      <c r="I5" s="4">
        <f>IF(OR(Net!I5=0,Net!I5="NA"),0,
IF(Net!I5&gt;=10000,1,0))</f>
        <v>0</v>
      </c>
      <c r="J5" s="4">
        <f>IF(OR(Net!J5=0,Net!J5="NA"),0,
IF(Net!J5&gt;=10000,1,0))</f>
        <v>0</v>
      </c>
      <c r="K5" s="4">
        <f>IF(OR(Net!K5=0,Net!K5="NA"),0,
IF(Net!K5&gt;=10000,1,0))</f>
        <v>0</v>
      </c>
      <c r="L5" s="4">
        <f>IF(OR(Net!L5=0,Net!L5="NA"),0,
IF(Net!L5&gt;=10000,1,0))</f>
        <v>0</v>
      </c>
      <c r="M5" s="4">
        <f>IF(OR(Net!M5=0,Net!M5="NA"),0,
IF(Net!M5&gt;=10000,1,0))</f>
        <v>0</v>
      </c>
      <c r="N5" s="4">
        <f>IF(OR(Net!N5=0,Net!N5="NA"),0,
IF(Net!N5&gt;=10000,1,0))</f>
        <v>0</v>
      </c>
      <c r="O5" s="4">
        <f>IF(OR(Net!O5=0,Net!O5="NA"),0,
IF(Net!O5&gt;=10000,1,0))</f>
        <v>0</v>
      </c>
      <c r="P5" s="4">
        <f>IF(OR(Net!P5=0,Net!P5="NA"),0,
IF(Net!P5&gt;=10000,1,0))</f>
        <v>0</v>
      </c>
      <c r="Q5" s="4">
        <f>IF(OR(Net!Q5=0,Net!Q5="NA"),0,
IF(Net!Q5&gt;=10000,1,0))</f>
        <v>1</v>
      </c>
      <c r="R5" s="4">
        <f>IF(OR(Net!R5=0,Net!R5="NA"),0,
IF(Net!R5&gt;=10000,1,0))</f>
        <v>0</v>
      </c>
      <c r="S5" s="4">
        <f>IF(OR(Net!S5=0,Net!S5="NA"),0,
IF(Net!S5&gt;=10000,1,0))</f>
        <v>1</v>
      </c>
      <c r="T5" s="4">
        <f>IF(OR(Net!T5=0,Net!T5="NA"),0,
IF(Net!T5&gt;=10000,1,0))</f>
        <v>0</v>
      </c>
      <c r="U5" s="4">
        <f>IF(OR(Net!U5=0,Net!U5="NA"),0,
IF(Net!U5&gt;=10000,1,0))</f>
        <v>0</v>
      </c>
    </row>
    <row r="6" spans="1:21" x14ac:dyDescent="0.35">
      <c r="A6" s="17"/>
      <c r="B6" s="2" t="s">
        <v>3</v>
      </c>
      <c r="C6" s="4">
        <f>IF(OR(Net!C6=0,Net!C6="NA"),0,
IF(Net!C6&gt;=10000,1,0))</f>
        <v>0</v>
      </c>
      <c r="D6" s="4">
        <f>IF(OR(Net!D6=0,Net!D6="NA"),0,
IF(Net!D6&gt;=10000,1,0))</f>
        <v>0</v>
      </c>
      <c r="E6" s="4">
        <f>IF(OR(Net!E6=0,Net!E6="NA"),0,
IF(Net!E6&gt;=10000,1,0))</f>
        <v>0</v>
      </c>
      <c r="F6" s="4">
        <f>IF(OR(Net!F6=0,Net!F6="NA"),0,
IF(Net!F6&gt;=10000,1,0))</f>
        <v>0</v>
      </c>
      <c r="G6" s="4">
        <f>IF(OR(Net!G6=0,Net!G6="NA"),0,
IF(Net!G6&gt;=10000,1,0))</f>
        <v>0</v>
      </c>
      <c r="H6" s="4">
        <f>IF(OR(Net!H6=0,Net!H6="NA"),0,
IF(Net!H6&gt;=10000,1,0))</f>
        <v>0</v>
      </c>
      <c r="I6" s="4">
        <f>IF(OR(Net!I6=0,Net!I6="NA"),0,
IF(Net!I6&gt;=10000,1,0))</f>
        <v>0</v>
      </c>
      <c r="J6" s="4">
        <f>IF(OR(Net!J6=0,Net!J6="NA"),0,
IF(Net!J6&gt;=10000,1,0))</f>
        <v>0</v>
      </c>
      <c r="K6" s="4">
        <f>IF(OR(Net!K6=0,Net!K6="NA"),0,
IF(Net!K6&gt;=10000,1,0))</f>
        <v>0</v>
      </c>
      <c r="L6" s="4">
        <f>IF(OR(Net!L6=0,Net!L6="NA"),0,
IF(Net!L6&gt;=10000,1,0))</f>
        <v>0</v>
      </c>
      <c r="M6" s="4">
        <f>IF(OR(Net!M6=0,Net!M6="NA"),0,
IF(Net!M6&gt;=10000,1,0))</f>
        <v>0</v>
      </c>
      <c r="N6" s="4">
        <f>IF(OR(Net!N6=0,Net!N6="NA"),0,
IF(Net!N6&gt;=10000,1,0))</f>
        <v>0</v>
      </c>
      <c r="O6" s="4">
        <f>IF(OR(Net!O6=0,Net!O6="NA"),0,
IF(Net!O6&gt;=10000,1,0))</f>
        <v>0</v>
      </c>
      <c r="P6" s="4">
        <f>IF(OR(Net!P6=0,Net!P6="NA"),0,
IF(Net!P6&gt;=10000,1,0))</f>
        <v>0</v>
      </c>
      <c r="Q6" s="4">
        <f>IF(OR(Net!Q6=0,Net!Q6="NA"),0,
IF(Net!Q6&gt;=10000,1,0))</f>
        <v>0</v>
      </c>
      <c r="R6" s="4">
        <f>IF(OR(Net!R6=0,Net!R6="NA"),0,
IF(Net!R6&gt;=10000,1,0))</f>
        <v>0</v>
      </c>
      <c r="S6" s="4">
        <f>IF(OR(Net!S6=0,Net!S6="NA"),0,
IF(Net!S6&gt;=10000,1,0))</f>
        <v>1</v>
      </c>
      <c r="T6" s="4">
        <f>IF(OR(Net!T6=0,Net!T6="NA"),0,
IF(Net!T6&gt;=10000,1,0))</f>
        <v>0</v>
      </c>
      <c r="U6" s="4">
        <f>IF(OR(Net!U6=0,Net!U6="NA"),0,
IF(Net!U6&gt;=10000,1,0))</f>
        <v>0</v>
      </c>
    </row>
    <row r="7" spans="1:21" x14ac:dyDescent="0.35">
      <c r="A7" s="17"/>
      <c r="B7" s="2" t="s">
        <v>4</v>
      </c>
      <c r="C7" s="4">
        <f>IF(OR(Net!C7=0,Net!C7="NA"),0,
IF(Net!C7&gt;=10000,1,0))</f>
        <v>1</v>
      </c>
      <c r="D7" s="4">
        <f>IF(OR(Net!D7=0,Net!D7="NA"),0,
IF(Net!D7&gt;=10000,1,0))</f>
        <v>0</v>
      </c>
      <c r="E7" s="4">
        <f>IF(OR(Net!E7=0,Net!E7="NA"),0,
IF(Net!E7&gt;=10000,1,0))</f>
        <v>1</v>
      </c>
      <c r="F7" s="4">
        <f>IF(OR(Net!F7=0,Net!F7="NA"),0,
IF(Net!F7&gt;=10000,1,0))</f>
        <v>1</v>
      </c>
      <c r="G7" s="4">
        <f>IF(OR(Net!G7=0,Net!G7="NA"),0,
IF(Net!G7&gt;=10000,1,0))</f>
        <v>0</v>
      </c>
      <c r="H7" s="4">
        <f>IF(OR(Net!H7=0,Net!H7="NA"),0,
IF(Net!H7&gt;=10000,1,0))</f>
        <v>0</v>
      </c>
      <c r="I7" s="4">
        <f>IF(OR(Net!I7=0,Net!I7="NA"),0,
IF(Net!I7&gt;=10000,1,0))</f>
        <v>0</v>
      </c>
      <c r="J7" s="4">
        <f>IF(OR(Net!J7=0,Net!J7="NA"),0,
IF(Net!J7&gt;=10000,1,0))</f>
        <v>0</v>
      </c>
      <c r="K7" s="4">
        <f>IF(OR(Net!K7=0,Net!K7="NA"),0,
IF(Net!K7&gt;=10000,1,0))</f>
        <v>0</v>
      </c>
      <c r="L7" s="4">
        <f>IF(OR(Net!L7=0,Net!L7="NA"),0,
IF(Net!L7&gt;=10000,1,0))</f>
        <v>0</v>
      </c>
      <c r="M7" s="4">
        <f>IF(OR(Net!M7=0,Net!M7="NA"),0,
IF(Net!M7&gt;=10000,1,0))</f>
        <v>0</v>
      </c>
      <c r="N7" s="4">
        <f>IF(OR(Net!N7=0,Net!N7="NA"),0,
IF(Net!N7&gt;=10000,1,0))</f>
        <v>0</v>
      </c>
      <c r="O7" s="4">
        <f>IF(OR(Net!O7=0,Net!O7="NA"),0,
IF(Net!O7&gt;=10000,1,0))</f>
        <v>0</v>
      </c>
      <c r="P7" s="4">
        <f>IF(OR(Net!P7=0,Net!P7="NA"),0,
IF(Net!P7&gt;=10000,1,0))</f>
        <v>0</v>
      </c>
      <c r="Q7" s="4">
        <f>IF(OR(Net!Q7=0,Net!Q7="NA"),0,
IF(Net!Q7&gt;=10000,1,0))</f>
        <v>0</v>
      </c>
      <c r="R7" s="4">
        <f>IF(OR(Net!R7=0,Net!R7="NA"),0,
IF(Net!R7&gt;=10000,1,0))</f>
        <v>0</v>
      </c>
      <c r="S7" s="4">
        <f>IF(OR(Net!S7=0,Net!S7="NA"),0,
IF(Net!S7&gt;=10000,1,0))</f>
        <v>1</v>
      </c>
      <c r="T7" s="4">
        <f>IF(OR(Net!T7=0,Net!T7="NA"),0,
IF(Net!T7&gt;=10000,1,0))</f>
        <v>0</v>
      </c>
      <c r="U7" s="4">
        <f>IF(OR(Net!U7=0,Net!U7="NA"),0,
IF(Net!U7&gt;=10000,1,0))</f>
        <v>1</v>
      </c>
    </row>
    <row r="8" spans="1:21" x14ac:dyDescent="0.35">
      <c r="A8" s="17"/>
      <c r="B8" s="2" t="s">
        <v>5</v>
      </c>
      <c r="C8" s="4">
        <f>IF(OR(Net!C8=0,Net!C8="NA"),0,
IF(Net!C8&gt;=10000,1,0))</f>
        <v>0</v>
      </c>
      <c r="D8" s="4">
        <f>IF(OR(Net!D8=0,Net!D8="NA"),0,
IF(Net!D8&gt;=10000,1,0))</f>
        <v>0</v>
      </c>
      <c r="E8" s="4">
        <f>IF(OR(Net!E8=0,Net!E8="NA"),0,
IF(Net!E8&gt;=10000,1,0))</f>
        <v>0</v>
      </c>
      <c r="F8" s="4">
        <f>IF(OR(Net!F8=0,Net!F8="NA"),0,
IF(Net!F8&gt;=10000,1,0))</f>
        <v>0</v>
      </c>
      <c r="G8" s="4">
        <f>IF(OR(Net!G8=0,Net!G8="NA"),0,
IF(Net!G8&gt;=10000,1,0))</f>
        <v>0</v>
      </c>
      <c r="H8" s="4">
        <f>IF(OR(Net!H8=0,Net!H8="NA"),0,
IF(Net!H8&gt;=10000,1,0))</f>
        <v>0</v>
      </c>
      <c r="I8" s="4">
        <f>IF(OR(Net!I8=0,Net!I8="NA"),0,
IF(Net!I8&gt;=10000,1,0))</f>
        <v>0</v>
      </c>
      <c r="J8" s="4">
        <f>IF(OR(Net!J8=0,Net!J8="NA"),0,
IF(Net!J8&gt;=10000,1,0))</f>
        <v>1</v>
      </c>
      <c r="K8" s="4">
        <f>IF(OR(Net!K8=0,Net!K8="NA"),0,
IF(Net!K8&gt;=10000,1,0))</f>
        <v>0</v>
      </c>
      <c r="L8" s="4">
        <f>IF(OR(Net!L8=0,Net!L8="NA"),0,
IF(Net!L8&gt;=10000,1,0))</f>
        <v>0</v>
      </c>
      <c r="M8" s="4">
        <f>IF(OR(Net!M8=0,Net!M8="NA"),0,
IF(Net!M8&gt;=10000,1,0))</f>
        <v>0</v>
      </c>
      <c r="N8" s="4">
        <f>IF(OR(Net!N8=0,Net!N8="NA"),0,
IF(Net!N8&gt;=10000,1,0))</f>
        <v>0</v>
      </c>
      <c r="O8" s="4">
        <f>IF(OR(Net!O8=0,Net!O8="NA"),0,
IF(Net!O8&gt;=10000,1,0))</f>
        <v>0</v>
      </c>
      <c r="P8" s="4">
        <f>IF(OR(Net!P8=0,Net!P8="NA"),0,
IF(Net!P8&gt;=10000,1,0))</f>
        <v>1</v>
      </c>
      <c r="Q8" s="4">
        <f>IF(OR(Net!Q8=0,Net!Q8="NA"),0,
IF(Net!Q8&gt;=10000,1,0))</f>
        <v>0</v>
      </c>
      <c r="R8" s="4">
        <f>IF(OR(Net!R8=0,Net!R8="NA"),0,
IF(Net!R8&gt;=10000,1,0))</f>
        <v>0</v>
      </c>
      <c r="S8" s="4">
        <f>IF(OR(Net!S8=0,Net!S8="NA"),0,
IF(Net!S8&gt;=10000,1,0))</f>
        <v>1</v>
      </c>
      <c r="T8" s="4">
        <f>IF(OR(Net!T8=0,Net!T8="NA"),0,
IF(Net!T8&gt;=10000,1,0))</f>
        <v>0</v>
      </c>
      <c r="U8" s="4">
        <f>IF(OR(Net!U8=0,Net!U8="NA"),0,
IF(Net!U8&gt;=10000,1,0))</f>
        <v>1</v>
      </c>
    </row>
    <row r="9" spans="1:21" x14ac:dyDescent="0.35">
      <c r="A9" s="17"/>
      <c r="B9" s="2" t="s">
        <v>6</v>
      </c>
      <c r="C9" s="4">
        <f>IF(OR(Net!C9=0,Net!C9="NA"),0,
IF(Net!C9&gt;=10000,1,0))</f>
        <v>0</v>
      </c>
      <c r="D9" s="4">
        <f>IF(OR(Net!D9=0,Net!D9="NA"),0,
IF(Net!D9&gt;=10000,1,0))</f>
        <v>0</v>
      </c>
      <c r="E9" s="4">
        <f>IF(OR(Net!E9=0,Net!E9="NA"),0,
IF(Net!E9&gt;=10000,1,0))</f>
        <v>0</v>
      </c>
      <c r="F9" s="4">
        <f>IF(OR(Net!F9=0,Net!F9="NA"),0,
IF(Net!F9&gt;=10000,1,0))</f>
        <v>0</v>
      </c>
      <c r="G9" s="4">
        <f>IF(OR(Net!G9=0,Net!G9="NA"),0,
IF(Net!G9&gt;=10000,1,0))</f>
        <v>0</v>
      </c>
      <c r="H9" s="4">
        <f>IF(OR(Net!H9=0,Net!H9="NA"),0,
IF(Net!H9&gt;=10000,1,0))</f>
        <v>0</v>
      </c>
      <c r="I9" s="4">
        <f>IF(OR(Net!I9=0,Net!I9="NA"),0,
IF(Net!I9&gt;=10000,1,0))</f>
        <v>0</v>
      </c>
      <c r="J9" s="4">
        <f>IF(OR(Net!J9=0,Net!J9="NA"),0,
IF(Net!J9&gt;=10000,1,0))</f>
        <v>0</v>
      </c>
      <c r="K9" s="4">
        <f>IF(OR(Net!K9=0,Net!K9="NA"),0,
IF(Net!K9&gt;=10000,1,0))</f>
        <v>0</v>
      </c>
      <c r="L9" s="4">
        <f>IF(OR(Net!L9=0,Net!L9="NA"),0,
IF(Net!L9&gt;=10000,1,0))</f>
        <v>0</v>
      </c>
      <c r="M9" s="4">
        <f>IF(OR(Net!M9=0,Net!M9="NA"),0,
IF(Net!M9&gt;=10000,1,0))</f>
        <v>0</v>
      </c>
      <c r="N9" s="4">
        <f>IF(OR(Net!N9=0,Net!N9="NA"),0,
IF(Net!N9&gt;=10000,1,0))</f>
        <v>0</v>
      </c>
      <c r="O9" s="4">
        <f>IF(OR(Net!O9=0,Net!O9="NA"),0,
IF(Net!O9&gt;=10000,1,0))</f>
        <v>0</v>
      </c>
      <c r="P9" s="4">
        <f>IF(OR(Net!P9=0,Net!P9="NA"),0,
IF(Net!P9&gt;=10000,1,0))</f>
        <v>0</v>
      </c>
      <c r="Q9" s="4">
        <f>IF(OR(Net!Q9=0,Net!Q9="NA"),0,
IF(Net!Q9&gt;=10000,1,0))</f>
        <v>0</v>
      </c>
      <c r="R9" s="4">
        <f>IF(OR(Net!R9=0,Net!R9="NA"),0,
IF(Net!R9&gt;=10000,1,0))</f>
        <v>0</v>
      </c>
      <c r="S9" s="4">
        <f>IF(OR(Net!S9=0,Net!S9="NA"),0,
IF(Net!S9&gt;=10000,1,0))</f>
        <v>1</v>
      </c>
      <c r="T9" s="4">
        <f>IF(OR(Net!T9=0,Net!T9="NA"),0,
IF(Net!T9&gt;=10000,1,0))</f>
        <v>0</v>
      </c>
      <c r="U9" s="4">
        <f>IF(OR(Net!U9=0,Net!U9="NA"),0,
IF(Net!U9&gt;=10000,1,0))</f>
        <v>0</v>
      </c>
    </row>
    <row r="10" spans="1:21" x14ac:dyDescent="0.35">
      <c r="A10" s="17"/>
      <c r="B10" s="2" t="s">
        <v>7</v>
      </c>
      <c r="C10" s="4">
        <f>IF(OR(Net!C10=0,Net!C10="NA"),0,
IF(Net!C10&gt;=10000,1,0))</f>
        <v>0</v>
      </c>
      <c r="D10" s="4">
        <f>IF(OR(Net!D10=0,Net!D10="NA"),0,
IF(Net!D10&gt;=10000,1,0))</f>
        <v>0</v>
      </c>
      <c r="E10" s="4">
        <f>IF(OR(Net!E10=0,Net!E10="NA"),0,
IF(Net!E10&gt;=10000,1,0))</f>
        <v>0</v>
      </c>
      <c r="F10" s="4">
        <f>IF(OR(Net!F10=0,Net!F10="NA"),0,
IF(Net!F10&gt;=10000,1,0))</f>
        <v>0</v>
      </c>
      <c r="G10" s="4">
        <f>IF(OR(Net!G10=0,Net!G10="NA"),0,
IF(Net!G10&gt;=10000,1,0))</f>
        <v>0</v>
      </c>
      <c r="H10" s="4">
        <f>IF(OR(Net!H10=0,Net!H10="NA"),0,
IF(Net!H10&gt;=10000,1,0))</f>
        <v>0</v>
      </c>
      <c r="I10" s="4">
        <f>IF(OR(Net!I10=0,Net!I10="NA"),0,
IF(Net!I10&gt;=10000,1,0))</f>
        <v>0</v>
      </c>
      <c r="J10" s="4">
        <f>IF(OR(Net!J10=0,Net!J10="NA"),0,
IF(Net!J10&gt;=10000,1,0))</f>
        <v>0</v>
      </c>
      <c r="K10" s="4">
        <f>IF(OR(Net!K10=0,Net!K10="NA"),0,
IF(Net!K10&gt;=10000,1,0))</f>
        <v>0</v>
      </c>
      <c r="L10" s="4">
        <f>IF(OR(Net!L10=0,Net!L10="NA"),0,
IF(Net!L10&gt;=10000,1,0))</f>
        <v>0</v>
      </c>
      <c r="M10" s="4">
        <f>IF(OR(Net!M10=0,Net!M10="NA"),0,
IF(Net!M10&gt;=10000,1,0))</f>
        <v>0</v>
      </c>
      <c r="N10" s="4">
        <f>IF(OR(Net!N10=0,Net!N10="NA"),0,
IF(Net!N10&gt;=10000,1,0))</f>
        <v>0</v>
      </c>
      <c r="O10" s="4">
        <f>IF(OR(Net!O10=0,Net!O10="NA"),0,
IF(Net!O10&gt;=10000,1,0))</f>
        <v>0</v>
      </c>
      <c r="P10" s="4">
        <f>IF(OR(Net!P10=0,Net!P10="NA"),0,
IF(Net!P10&gt;=10000,1,0))</f>
        <v>0</v>
      </c>
      <c r="Q10" s="4">
        <f>IF(OR(Net!Q10=0,Net!Q10="NA"),0,
IF(Net!Q10&gt;=10000,1,0))</f>
        <v>0</v>
      </c>
      <c r="R10" s="4">
        <f>IF(OR(Net!R10=0,Net!R10="NA"),0,
IF(Net!R10&gt;=10000,1,0))</f>
        <v>0</v>
      </c>
      <c r="S10" s="4">
        <f>IF(OR(Net!S10=0,Net!S10="NA"),0,
IF(Net!S10&gt;=10000,1,0))</f>
        <v>1</v>
      </c>
      <c r="T10" s="4">
        <f>IF(OR(Net!T10=0,Net!T10="NA"),0,
IF(Net!T10&gt;=10000,1,0))</f>
        <v>0</v>
      </c>
      <c r="U10" s="4">
        <f>IF(OR(Net!U10=0,Net!U10="NA"),0,
IF(Net!U10&gt;=10000,1,0))</f>
        <v>1</v>
      </c>
    </row>
    <row r="11" spans="1:21" x14ac:dyDescent="0.35">
      <c r="A11" s="17"/>
      <c r="B11" s="2" t="s">
        <v>8</v>
      </c>
      <c r="C11" s="4">
        <f>IF(OR(Net!C11=0,Net!C11="NA"),0,
IF(Net!C11&gt;=10000,1,0))</f>
        <v>0</v>
      </c>
      <c r="D11" s="4">
        <f>IF(OR(Net!D11=0,Net!D11="NA"),0,
IF(Net!D11&gt;=10000,1,0))</f>
        <v>0</v>
      </c>
      <c r="E11" s="4">
        <f>IF(OR(Net!E11=0,Net!E11="NA"),0,
IF(Net!E11&gt;=10000,1,0))</f>
        <v>0</v>
      </c>
      <c r="F11" s="4">
        <f>IF(OR(Net!F11=0,Net!F11="NA"),0,
IF(Net!F11&gt;=10000,1,0))</f>
        <v>1</v>
      </c>
      <c r="G11" s="4">
        <f>IF(OR(Net!G11=0,Net!G11="NA"),0,
IF(Net!G11&gt;=10000,1,0))</f>
        <v>0</v>
      </c>
      <c r="H11" s="4">
        <f>IF(OR(Net!H11=0,Net!H11="NA"),0,
IF(Net!H11&gt;=10000,1,0))</f>
        <v>0</v>
      </c>
      <c r="I11" s="4">
        <f>IF(OR(Net!I11=0,Net!I11="NA"),0,
IF(Net!I11&gt;=10000,1,0))</f>
        <v>1</v>
      </c>
      <c r="J11" s="4">
        <f>IF(OR(Net!J11=0,Net!J11="NA"),0,
IF(Net!J11&gt;=10000,1,0))</f>
        <v>0</v>
      </c>
      <c r="K11" s="4">
        <f>IF(OR(Net!K11=0,Net!K11="NA"),0,
IF(Net!K11&gt;=10000,1,0))</f>
        <v>0</v>
      </c>
      <c r="L11" s="4">
        <f>IF(OR(Net!L11=0,Net!L11="NA"),0,
IF(Net!L11&gt;=10000,1,0))</f>
        <v>1</v>
      </c>
      <c r="M11" s="4">
        <f>IF(OR(Net!M11=0,Net!M11="NA"),0,
IF(Net!M11&gt;=10000,1,0))</f>
        <v>1</v>
      </c>
      <c r="N11" s="4">
        <f>IF(OR(Net!N11=0,Net!N11="NA"),0,
IF(Net!N11&gt;=10000,1,0))</f>
        <v>1</v>
      </c>
      <c r="O11" s="4">
        <f>IF(OR(Net!O11=0,Net!O11="NA"),0,
IF(Net!O11&gt;=10000,1,0))</f>
        <v>0</v>
      </c>
      <c r="P11" s="4">
        <f>IF(OR(Net!P11=0,Net!P11="NA"),0,
IF(Net!P11&gt;=10000,1,0))</f>
        <v>0</v>
      </c>
      <c r="Q11" s="4">
        <f>IF(OR(Net!Q11=0,Net!Q11="NA"),0,
IF(Net!Q11&gt;=10000,1,0))</f>
        <v>0</v>
      </c>
      <c r="R11" s="4">
        <f>IF(OR(Net!R11=0,Net!R11="NA"),0,
IF(Net!R11&gt;=10000,1,0))</f>
        <v>0</v>
      </c>
      <c r="S11" s="4">
        <f>IF(OR(Net!S11=0,Net!S11="NA"),0,
IF(Net!S11&gt;=10000,1,0))</f>
        <v>1</v>
      </c>
      <c r="T11" s="4">
        <f>IF(OR(Net!T11=0,Net!T11="NA"),0,
IF(Net!T11&gt;=10000,1,0))</f>
        <v>0</v>
      </c>
      <c r="U11" s="4">
        <f>IF(OR(Net!U11=0,Net!U11="NA"),0,
IF(Net!U11&gt;=10000,1,0))</f>
        <v>0</v>
      </c>
    </row>
    <row r="12" spans="1:21" x14ac:dyDescent="0.35">
      <c r="A12" s="17"/>
      <c r="B12" s="2" t="s">
        <v>9</v>
      </c>
      <c r="C12" s="4">
        <f>IF(OR(Net!C12=0,Net!C12="NA"),0,
IF(Net!C12&gt;=10000,1,0))</f>
        <v>0</v>
      </c>
      <c r="D12" s="4">
        <f>IF(OR(Net!D12=0,Net!D12="NA"),0,
IF(Net!D12&gt;=10000,1,0))</f>
        <v>0</v>
      </c>
      <c r="E12" s="4">
        <f>IF(OR(Net!E12=0,Net!E12="NA"),0,
IF(Net!E12&gt;=10000,1,0))</f>
        <v>0</v>
      </c>
      <c r="F12" s="4">
        <f>IF(OR(Net!F12=0,Net!F12="NA"),0,
IF(Net!F12&gt;=10000,1,0))</f>
        <v>0</v>
      </c>
      <c r="G12" s="4">
        <f>IF(OR(Net!G12=0,Net!G12="NA"),0,
IF(Net!G12&gt;=10000,1,0))</f>
        <v>0</v>
      </c>
      <c r="H12" s="4">
        <f>IF(OR(Net!H12=0,Net!H12="NA"),0,
IF(Net!H12&gt;=10000,1,0))</f>
        <v>0</v>
      </c>
      <c r="I12" s="4">
        <f>IF(OR(Net!I12=0,Net!I12="NA"),0,
IF(Net!I12&gt;=10000,1,0))</f>
        <v>0</v>
      </c>
      <c r="J12" s="4">
        <f>IF(OR(Net!J12=0,Net!J12="NA"),0,
IF(Net!J12&gt;=10000,1,0))</f>
        <v>0</v>
      </c>
      <c r="K12" s="4">
        <f>IF(OR(Net!K12=0,Net!K12="NA"),0,
IF(Net!K12&gt;=10000,1,0))</f>
        <v>0</v>
      </c>
      <c r="L12" s="4">
        <f>IF(OR(Net!L12=0,Net!L12="NA"),0,
IF(Net!L12&gt;=10000,1,0))</f>
        <v>0</v>
      </c>
      <c r="M12" s="4">
        <f>IF(OR(Net!M12=0,Net!M12="NA"),0,
IF(Net!M12&gt;=10000,1,0))</f>
        <v>0</v>
      </c>
      <c r="N12" s="4">
        <f>IF(OR(Net!N12=0,Net!N12="NA"),0,
IF(Net!N12&gt;=10000,1,0))</f>
        <v>1</v>
      </c>
      <c r="O12" s="4">
        <f>IF(OR(Net!O12=0,Net!O12="NA"),0,
IF(Net!O12&gt;=10000,1,0))</f>
        <v>0</v>
      </c>
      <c r="P12" s="4">
        <f>IF(OR(Net!P12=0,Net!P12="NA"),0,
IF(Net!P12&gt;=10000,1,0))</f>
        <v>0</v>
      </c>
      <c r="Q12" s="4">
        <f>IF(OR(Net!Q12=0,Net!Q12="NA"),0,
IF(Net!Q12&gt;=10000,1,0))</f>
        <v>0</v>
      </c>
      <c r="R12" s="4">
        <f>IF(OR(Net!R12=0,Net!R12="NA"),0,
IF(Net!R12&gt;=10000,1,0))</f>
        <v>0</v>
      </c>
      <c r="S12" s="4">
        <f>IF(OR(Net!S12=0,Net!S12="NA"),0,
IF(Net!S12&gt;=10000,1,0))</f>
        <v>1</v>
      </c>
      <c r="T12" s="4">
        <f>IF(OR(Net!T12=0,Net!T12="NA"),0,
IF(Net!T12&gt;=10000,1,0))</f>
        <v>0</v>
      </c>
      <c r="U12" s="4">
        <f>IF(OR(Net!U12=0,Net!U12="NA"),0,
IF(Net!U12&gt;=10000,1,0))</f>
        <v>0</v>
      </c>
    </row>
    <row r="13" spans="1:21" x14ac:dyDescent="0.35">
      <c r="A13" s="17"/>
      <c r="B13" s="2" t="s">
        <v>10</v>
      </c>
      <c r="C13" s="4">
        <f>IF(OR(Net!C13=0,Net!C13="NA"),0,
IF(Net!C13&gt;=10000,1,0))</f>
        <v>0</v>
      </c>
      <c r="D13" s="4">
        <f>IF(OR(Net!D13=0,Net!D13="NA"),0,
IF(Net!D13&gt;=10000,1,0))</f>
        <v>0</v>
      </c>
      <c r="E13" s="4">
        <f>IF(OR(Net!E13=0,Net!E13="NA"),0,
IF(Net!E13&gt;=10000,1,0))</f>
        <v>0</v>
      </c>
      <c r="F13" s="4">
        <f>IF(OR(Net!F13=0,Net!F13="NA"),0,
IF(Net!F13&gt;=10000,1,0))</f>
        <v>0</v>
      </c>
      <c r="G13" s="4">
        <f>IF(OR(Net!G13=0,Net!G13="NA"),0,
IF(Net!G13&gt;=10000,1,0))</f>
        <v>0</v>
      </c>
      <c r="H13" s="4">
        <f>IF(OR(Net!H13=0,Net!H13="NA"),0,
IF(Net!H13&gt;=10000,1,0))</f>
        <v>0</v>
      </c>
      <c r="I13" s="4">
        <f>IF(OR(Net!I13=0,Net!I13="NA"),0,
IF(Net!I13&gt;=10000,1,0))</f>
        <v>0</v>
      </c>
      <c r="J13" s="4">
        <f>IF(OR(Net!J13=0,Net!J13="NA"),0,
IF(Net!J13&gt;=10000,1,0))</f>
        <v>0</v>
      </c>
      <c r="K13" s="4">
        <f>IF(OR(Net!K13=0,Net!K13="NA"),0,
IF(Net!K13&gt;=10000,1,0))</f>
        <v>0</v>
      </c>
      <c r="L13" s="4">
        <f>IF(OR(Net!L13=0,Net!L13="NA"),0,
IF(Net!L13&gt;=10000,1,0))</f>
        <v>0</v>
      </c>
      <c r="M13" s="4">
        <f>IF(OR(Net!M13=0,Net!M13="NA"),0,
IF(Net!M13&gt;=10000,1,0))</f>
        <v>0</v>
      </c>
      <c r="N13" s="4">
        <f>IF(OR(Net!N13=0,Net!N13="NA"),0,
IF(Net!N13&gt;=10000,1,0))</f>
        <v>0</v>
      </c>
      <c r="O13" s="4">
        <f>IF(OR(Net!O13=0,Net!O13="NA"),0,
IF(Net!O13&gt;=10000,1,0))</f>
        <v>0</v>
      </c>
      <c r="P13" s="4">
        <f>IF(OR(Net!P13=0,Net!P13="NA"),0,
IF(Net!P13&gt;=10000,1,0))</f>
        <v>0</v>
      </c>
      <c r="Q13" s="4">
        <f>IF(OR(Net!Q13=0,Net!Q13="NA"),0,
IF(Net!Q13&gt;=10000,1,0))</f>
        <v>0</v>
      </c>
      <c r="R13" s="4">
        <f>IF(OR(Net!R13=0,Net!R13="NA"),0,
IF(Net!R13&gt;=10000,1,0))</f>
        <v>0</v>
      </c>
      <c r="S13" s="4">
        <f>IF(OR(Net!S13=0,Net!S13="NA"),0,
IF(Net!S13&gt;=10000,1,0))</f>
        <v>1</v>
      </c>
      <c r="T13" s="4">
        <f>IF(OR(Net!T13=0,Net!T13="NA"),0,
IF(Net!T13&gt;=10000,1,0))</f>
        <v>0</v>
      </c>
      <c r="U13" s="4">
        <f>IF(OR(Net!U13=0,Net!U13="NA"),0,
IF(Net!U13&gt;=10000,1,0))</f>
        <v>0</v>
      </c>
    </row>
    <row r="14" spans="1:21" x14ac:dyDescent="0.35">
      <c r="A14" s="17"/>
      <c r="B14" s="2" t="s">
        <v>11</v>
      </c>
      <c r="C14" s="4">
        <f>IF(OR(Net!C14=0,Net!C14="NA"),0,
IF(Net!C14&gt;=10000,1,0))</f>
        <v>0</v>
      </c>
      <c r="D14" s="4">
        <f>IF(OR(Net!D14=0,Net!D14="NA"),0,
IF(Net!D14&gt;=10000,1,0))</f>
        <v>0</v>
      </c>
      <c r="E14" s="4">
        <f>IF(OR(Net!E14=0,Net!E14="NA"),0,
IF(Net!E14&gt;=10000,1,0))</f>
        <v>0</v>
      </c>
      <c r="F14" s="4">
        <f>IF(OR(Net!F14=0,Net!F14="NA"),0,
IF(Net!F14&gt;=10000,1,0))</f>
        <v>1</v>
      </c>
      <c r="G14" s="4">
        <f>IF(OR(Net!G14=0,Net!G14="NA"),0,
IF(Net!G14&gt;=10000,1,0))</f>
        <v>0</v>
      </c>
      <c r="H14" s="4">
        <f>IF(OR(Net!H14=0,Net!H14="NA"),0,
IF(Net!H14&gt;=10000,1,0))</f>
        <v>0</v>
      </c>
      <c r="I14" s="4">
        <f>IF(OR(Net!I14=0,Net!I14="NA"),0,
IF(Net!I14&gt;=10000,1,0))</f>
        <v>0</v>
      </c>
      <c r="J14" s="4">
        <f>IF(OR(Net!J14=0,Net!J14="NA"),0,
IF(Net!J14&gt;=10000,1,0))</f>
        <v>0</v>
      </c>
      <c r="K14" s="4">
        <f>IF(OR(Net!K14=0,Net!K14="NA"),0,
IF(Net!K14&gt;=10000,1,0))</f>
        <v>0</v>
      </c>
      <c r="L14" s="4">
        <f>IF(OR(Net!L14=0,Net!L14="NA"),0,
IF(Net!L14&gt;=10000,1,0))</f>
        <v>0</v>
      </c>
      <c r="M14" s="4">
        <f>IF(OR(Net!M14=0,Net!M14="NA"),0,
IF(Net!M14&gt;=10000,1,0))</f>
        <v>0</v>
      </c>
      <c r="N14" s="4">
        <f>IF(OR(Net!N14=0,Net!N14="NA"),0,
IF(Net!N14&gt;=10000,1,0))</f>
        <v>0</v>
      </c>
      <c r="O14" s="4">
        <f>IF(OR(Net!O14=0,Net!O14="NA"),0,
IF(Net!O14&gt;=10000,1,0))</f>
        <v>0</v>
      </c>
      <c r="P14" s="4">
        <f>IF(OR(Net!P14=0,Net!P14="NA"),0,
IF(Net!P14&gt;=10000,1,0))</f>
        <v>0</v>
      </c>
      <c r="Q14" s="4">
        <f>IF(OR(Net!Q14=0,Net!Q14="NA"),0,
IF(Net!Q14&gt;=10000,1,0))</f>
        <v>0</v>
      </c>
      <c r="R14" s="4">
        <f>IF(OR(Net!R14=0,Net!R14="NA"),0,
IF(Net!R14&gt;=10000,1,0))</f>
        <v>0</v>
      </c>
      <c r="S14" s="4">
        <f>IF(OR(Net!S14=0,Net!S14="NA"),0,
IF(Net!S14&gt;=10000,1,0))</f>
        <v>1</v>
      </c>
      <c r="T14" s="4">
        <f>IF(OR(Net!T14=0,Net!T14="NA"),0,
IF(Net!T14&gt;=10000,1,0))</f>
        <v>0</v>
      </c>
      <c r="U14" s="4">
        <f>IF(OR(Net!U14=0,Net!U14="NA"),0,
IF(Net!U14&gt;=10000,1,0))</f>
        <v>0</v>
      </c>
    </row>
    <row r="15" spans="1:21" x14ac:dyDescent="0.35">
      <c r="A15" s="17"/>
      <c r="B15" s="2" t="s">
        <v>12</v>
      </c>
      <c r="C15" s="4">
        <f>IF(OR(Net!C15=0,Net!C15="NA"),0,
IF(Net!C15&gt;=10000,1,0))</f>
        <v>0</v>
      </c>
      <c r="D15" s="4">
        <f>IF(OR(Net!D15=0,Net!D15="NA"),0,
IF(Net!D15&gt;=10000,1,0))</f>
        <v>0</v>
      </c>
      <c r="E15" s="4">
        <f>IF(OR(Net!E15=0,Net!E15="NA"),0,
IF(Net!E15&gt;=10000,1,0))</f>
        <v>0</v>
      </c>
      <c r="F15" s="4">
        <f>IF(OR(Net!F15=0,Net!F15="NA"),0,
IF(Net!F15&gt;=10000,1,0))</f>
        <v>0</v>
      </c>
      <c r="G15" s="4">
        <f>IF(OR(Net!G15=0,Net!G15="NA"),0,
IF(Net!G15&gt;=10000,1,0))</f>
        <v>0</v>
      </c>
      <c r="H15" s="4">
        <f>IF(OR(Net!H15=0,Net!H15="NA"),0,
IF(Net!H15&gt;=10000,1,0))</f>
        <v>0</v>
      </c>
      <c r="I15" s="4">
        <f>IF(OR(Net!I15=0,Net!I15="NA"),0,
IF(Net!I15&gt;=10000,1,0))</f>
        <v>1</v>
      </c>
      <c r="J15" s="4">
        <f>IF(OR(Net!J15=0,Net!J15="NA"),0,
IF(Net!J15&gt;=10000,1,0))</f>
        <v>0</v>
      </c>
      <c r="K15" s="4">
        <f>IF(OR(Net!K15=0,Net!K15="NA"),0,
IF(Net!K15&gt;=10000,1,0))</f>
        <v>0</v>
      </c>
      <c r="L15" s="4">
        <f>IF(OR(Net!L15=0,Net!L15="NA"),0,
IF(Net!L15&gt;=10000,1,0))</f>
        <v>0</v>
      </c>
      <c r="M15" s="4">
        <f>IF(OR(Net!M15=0,Net!M15="NA"),0,
IF(Net!M15&gt;=10000,1,0))</f>
        <v>1</v>
      </c>
      <c r="N15" s="4">
        <f>IF(OR(Net!N15=0,Net!N15="NA"),0,
IF(Net!N15&gt;=10000,1,0))</f>
        <v>0</v>
      </c>
      <c r="O15" s="4">
        <f>IF(OR(Net!O15=0,Net!O15="NA"),0,
IF(Net!O15&gt;=10000,1,0))</f>
        <v>0</v>
      </c>
      <c r="P15" s="4">
        <f>IF(OR(Net!P15=0,Net!P15="NA"),0,
IF(Net!P15&gt;=10000,1,0))</f>
        <v>0</v>
      </c>
      <c r="Q15" s="4">
        <f>IF(OR(Net!Q15=0,Net!Q15="NA"),0,
IF(Net!Q15&gt;=10000,1,0))</f>
        <v>0</v>
      </c>
      <c r="R15" s="4">
        <f>IF(OR(Net!R15=0,Net!R15="NA"),0,
IF(Net!R15&gt;=10000,1,0))</f>
        <v>0</v>
      </c>
      <c r="S15" s="4">
        <f>IF(OR(Net!S15=0,Net!S15="NA"),0,
IF(Net!S15&gt;=10000,1,0))</f>
        <v>1</v>
      </c>
      <c r="T15" s="4">
        <f>IF(OR(Net!T15=0,Net!T15="NA"),0,
IF(Net!T15&gt;=10000,1,0))</f>
        <v>0</v>
      </c>
      <c r="U15" s="4">
        <f>IF(OR(Net!U15=0,Net!U15="NA"),0,
IF(Net!U15&gt;=10000,1,0))</f>
        <v>0</v>
      </c>
    </row>
    <row r="16" spans="1:21" x14ac:dyDescent="0.35">
      <c r="A16" s="17"/>
      <c r="B16" s="2" t="s">
        <v>13</v>
      </c>
      <c r="C16" s="4">
        <f>IF(OR(Net!C16=0,Net!C16="NA"),0,
IF(Net!C16&gt;=10000,1,0))</f>
        <v>0</v>
      </c>
      <c r="D16" s="4">
        <f>IF(OR(Net!D16=0,Net!D16="NA"),0,
IF(Net!D16&gt;=10000,1,0))</f>
        <v>0</v>
      </c>
      <c r="E16" s="4">
        <f>IF(OR(Net!E16=0,Net!E16="NA"),0,
IF(Net!E16&gt;=10000,1,0))</f>
        <v>0</v>
      </c>
      <c r="F16" s="4">
        <f>IF(OR(Net!F16=0,Net!F16="NA"),0,
IF(Net!F16&gt;=10000,1,0))</f>
        <v>0</v>
      </c>
      <c r="G16" s="4">
        <f>IF(OR(Net!G16=0,Net!G16="NA"),0,
IF(Net!G16&gt;=10000,1,0))</f>
        <v>0</v>
      </c>
      <c r="H16" s="4">
        <f>IF(OR(Net!H16=0,Net!H16="NA"),0,
IF(Net!H16&gt;=10000,1,0))</f>
        <v>0</v>
      </c>
      <c r="I16" s="4">
        <f>IF(OR(Net!I16=0,Net!I16="NA"),0,
IF(Net!I16&gt;=10000,1,0))</f>
        <v>0</v>
      </c>
      <c r="J16" s="4">
        <f>IF(OR(Net!J16=0,Net!J16="NA"),0,
IF(Net!J16&gt;=10000,1,0))</f>
        <v>0</v>
      </c>
      <c r="K16" s="4">
        <f>IF(OR(Net!K16=0,Net!K16="NA"),0,
IF(Net!K16&gt;=10000,1,0))</f>
        <v>0</v>
      </c>
      <c r="L16" s="4">
        <f>IF(OR(Net!L16=0,Net!L16="NA"),0,
IF(Net!L16&gt;=10000,1,0))</f>
        <v>0</v>
      </c>
      <c r="M16" s="4">
        <f>IF(OR(Net!M16=0,Net!M16="NA"),0,
IF(Net!M16&gt;=10000,1,0))</f>
        <v>0</v>
      </c>
      <c r="N16" s="4">
        <f>IF(OR(Net!N16=0,Net!N16="NA"),0,
IF(Net!N16&gt;=10000,1,0))</f>
        <v>1</v>
      </c>
      <c r="O16" s="4">
        <f>IF(OR(Net!O16=0,Net!O16="NA"),0,
IF(Net!O16&gt;=10000,1,0))</f>
        <v>0</v>
      </c>
      <c r="P16" s="4">
        <f>IF(OR(Net!P16=0,Net!P16="NA"),0,
IF(Net!P16&gt;=10000,1,0))</f>
        <v>0</v>
      </c>
      <c r="Q16" s="4">
        <f>IF(OR(Net!Q16=0,Net!Q16="NA"),0,
IF(Net!Q16&gt;=10000,1,0))</f>
        <v>0</v>
      </c>
      <c r="R16" s="4">
        <f>IF(OR(Net!R16=0,Net!R16="NA"),0,
IF(Net!R16&gt;=10000,1,0))</f>
        <v>0</v>
      </c>
      <c r="S16" s="4">
        <f>IF(OR(Net!S16=0,Net!S16="NA"),0,
IF(Net!S16&gt;=10000,1,0))</f>
        <v>1</v>
      </c>
      <c r="T16" s="4">
        <f>IF(OR(Net!T16=0,Net!T16="NA"),0,
IF(Net!T16&gt;=10000,1,0))</f>
        <v>0</v>
      </c>
      <c r="U16" s="4">
        <f>IF(OR(Net!U16=0,Net!U16="NA"),0,
IF(Net!U16&gt;=10000,1,0))</f>
        <v>0</v>
      </c>
    </row>
    <row r="17" spans="1:21" x14ac:dyDescent="0.35">
      <c r="A17" s="17"/>
      <c r="B17" s="2" t="s">
        <v>14</v>
      </c>
      <c r="C17" s="4">
        <f>IF(OR(Net!C17=0,Net!C17="NA"),0,
IF(Net!C17&gt;=10000,1,0))</f>
        <v>1</v>
      </c>
      <c r="D17" s="4">
        <f>IF(OR(Net!D17=0,Net!D17="NA"),0,
IF(Net!D17&gt;=10000,1,0))</f>
        <v>0</v>
      </c>
      <c r="E17" s="4">
        <f>IF(OR(Net!E17=0,Net!E17="NA"),0,
IF(Net!E17&gt;=10000,1,0))</f>
        <v>0</v>
      </c>
      <c r="F17" s="4">
        <f>IF(OR(Net!F17=0,Net!F17="NA"),0,
IF(Net!F17&gt;=10000,1,0))</f>
        <v>0</v>
      </c>
      <c r="G17" s="4">
        <f>IF(OR(Net!G17=0,Net!G17="NA"),0,
IF(Net!G17&gt;=10000,1,0))</f>
        <v>0</v>
      </c>
      <c r="H17" s="4">
        <f>IF(OR(Net!H17=0,Net!H17="NA"),0,
IF(Net!H17&gt;=10000,1,0))</f>
        <v>0</v>
      </c>
      <c r="I17" s="4">
        <f>IF(OR(Net!I17=0,Net!I17="NA"),0,
IF(Net!I17&gt;=10000,1,0))</f>
        <v>0</v>
      </c>
      <c r="J17" s="4">
        <f>IF(OR(Net!J17=0,Net!J17="NA"),0,
IF(Net!J17&gt;=10000,1,0))</f>
        <v>0</v>
      </c>
      <c r="K17" s="4">
        <f>IF(OR(Net!K17=0,Net!K17="NA"),0,
IF(Net!K17&gt;=10000,1,0))</f>
        <v>0</v>
      </c>
      <c r="L17" s="4">
        <f>IF(OR(Net!L17=0,Net!L17="NA"),0,
IF(Net!L17&gt;=10000,1,0))</f>
        <v>0</v>
      </c>
      <c r="M17" s="4">
        <f>IF(OR(Net!M17=0,Net!M17="NA"),0,
IF(Net!M17&gt;=10000,1,0))</f>
        <v>0</v>
      </c>
      <c r="N17" s="4">
        <f>IF(OR(Net!N17=0,Net!N17="NA"),0,
IF(Net!N17&gt;=10000,1,0))</f>
        <v>0</v>
      </c>
      <c r="O17" s="4">
        <f>IF(OR(Net!O17=0,Net!O17="NA"),0,
IF(Net!O17&gt;=10000,1,0))</f>
        <v>0</v>
      </c>
      <c r="P17" s="4">
        <f>IF(OR(Net!P17=0,Net!P17="NA"),0,
IF(Net!P17&gt;=10000,1,0))</f>
        <v>0</v>
      </c>
      <c r="Q17" s="4">
        <f>IF(OR(Net!Q17=0,Net!Q17="NA"),0,
IF(Net!Q17&gt;=10000,1,0))</f>
        <v>0</v>
      </c>
      <c r="R17" s="4">
        <f>IF(OR(Net!R17=0,Net!R17="NA"),0,
IF(Net!R17&gt;=10000,1,0))</f>
        <v>0</v>
      </c>
      <c r="S17" s="4">
        <f>IF(OR(Net!S17=0,Net!S17="NA"),0,
IF(Net!S17&gt;=10000,1,0))</f>
        <v>0</v>
      </c>
      <c r="T17" s="4">
        <f>IF(OR(Net!T17=0,Net!T17="NA"),0,
IF(Net!T17&gt;=10000,1,0))</f>
        <v>0</v>
      </c>
      <c r="U17" s="4">
        <f>IF(OR(Net!U17=0,Net!U17="NA"),0,
IF(Net!U17&gt;=10000,1,0))</f>
        <v>0</v>
      </c>
    </row>
    <row r="18" spans="1:21" x14ac:dyDescent="0.35">
      <c r="A18" s="17"/>
      <c r="B18" s="2" t="s">
        <v>15</v>
      </c>
      <c r="C18" s="4">
        <f>IF(OR(Net!C18=0,Net!C18="NA"),0,
IF(Net!C18&gt;=10000,1,0))</f>
        <v>0</v>
      </c>
      <c r="D18" s="4">
        <f>IF(OR(Net!D18=0,Net!D18="NA"),0,
IF(Net!D18&gt;=10000,1,0))</f>
        <v>0</v>
      </c>
      <c r="E18" s="4">
        <f>IF(OR(Net!E18=0,Net!E18="NA"),0,
IF(Net!E18&gt;=10000,1,0))</f>
        <v>0</v>
      </c>
      <c r="F18" s="4">
        <f>IF(OR(Net!F18=0,Net!F18="NA"),0,
IF(Net!F18&gt;=10000,1,0))</f>
        <v>1</v>
      </c>
      <c r="G18" s="4">
        <f>IF(OR(Net!G18=0,Net!G18="NA"),0,
IF(Net!G18&gt;=10000,1,0))</f>
        <v>0</v>
      </c>
      <c r="H18" s="4">
        <f>IF(OR(Net!H18=0,Net!H18="NA"),0,
IF(Net!H18&gt;=10000,1,0))</f>
        <v>0</v>
      </c>
      <c r="I18" s="4">
        <f>IF(OR(Net!I18=0,Net!I18="NA"),0,
IF(Net!I18&gt;=10000,1,0))</f>
        <v>0</v>
      </c>
      <c r="J18" s="4">
        <f>IF(OR(Net!J18=0,Net!J18="NA"),0,
IF(Net!J18&gt;=10000,1,0))</f>
        <v>0</v>
      </c>
      <c r="K18" s="4">
        <f>IF(OR(Net!K18=0,Net!K18="NA"),0,
IF(Net!K18&gt;=10000,1,0))</f>
        <v>0</v>
      </c>
      <c r="L18" s="4">
        <f>IF(OR(Net!L18=0,Net!L18="NA"),0,
IF(Net!L18&gt;=10000,1,0))</f>
        <v>0</v>
      </c>
      <c r="M18" s="4">
        <f>IF(OR(Net!M18=0,Net!M18="NA"),0,
IF(Net!M18&gt;=10000,1,0))</f>
        <v>0</v>
      </c>
      <c r="N18" s="4">
        <f>IF(OR(Net!N18=0,Net!N18="NA"),0,
IF(Net!N18&gt;=10000,1,0))</f>
        <v>0</v>
      </c>
      <c r="O18" s="4">
        <f>IF(OR(Net!O18=0,Net!O18="NA"),0,
IF(Net!O18&gt;=10000,1,0))</f>
        <v>0</v>
      </c>
      <c r="P18" s="4">
        <f>IF(OR(Net!P18=0,Net!P18="NA"),0,
IF(Net!P18&gt;=10000,1,0))</f>
        <v>0</v>
      </c>
      <c r="Q18" s="4">
        <f>IF(OR(Net!Q18=0,Net!Q18="NA"),0,
IF(Net!Q18&gt;=10000,1,0))</f>
        <v>0</v>
      </c>
      <c r="R18" s="4">
        <f>IF(OR(Net!R18=0,Net!R18="NA"),0,
IF(Net!R18&gt;=10000,1,0))</f>
        <v>0</v>
      </c>
      <c r="S18" s="4">
        <f>IF(OR(Net!S18=0,Net!S18="NA"),0,
IF(Net!S18&gt;=10000,1,0))</f>
        <v>1</v>
      </c>
      <c r="T18" s="4">
        <f>IF(OR(Net!T18=0,Net!T18="NA"),0,
IF(Net!T18&gt;=10000,1,0))</f>
        <v>0</v>
      </c>
      <c r="U18" s="4">
        <f>IF(OR(Net!U18=0,Net!U18="NA"),0,
IF(Net!U18&gt;=10000,1,0))</f>
        <v>1</v>
      </c>
    </row>
    <row r="19" spans="1:21" x14ac:dyDescent="0.35">
      <c r="A19" s="17"/>
      <c r="B19" s="2" t="s">
        <v>16</v>
      </c>
      <c r="C19" s="4">
        <f>IF(OR(Net!C19=0,Net!C19="NA"),0,
IF(Net!C19&gt;=10000,1,0))</f>
        <v>0</v>
      </c>
      <c r="D19" s="4">
        <f>IF(OR(Net!D19=0,Net!D19="NA"),0,
IF(Net!D19&gt;=10000,1,0))</f>
        <v>0</v>
      </c>
      <c r="E19" s="4">
        <f>IF(OR(Net!E19=0,Net!E19="NA"),0,
IF(Net!E19&gt;=10000,1,0))</f>
        <v>0</v>
      </c>
      <c r="F19" s="4">
        <f>IF(OR(Net!F19=0,Net!F19="NA"),0,
IF(Net!F19&gt;=10000,1,0))</f>
        <v>0</v>
      </c>
      <c r="G19" s="4">
        <f>IF(OR(Net!G19=0,Net!G19="NA"),0,
IF(Net!G19&gt;=10000,1,0))</f>
        <v>0</v>
      </c>
      <c r="H19" s="4">
        <f>IF(OR(Net!H19=0,Net!H19="NA"),0,
IF(Net!H19&gt;=10000,1,0))</f>
        <v>0</v>
      </c>
      <c r="I19" s="4">
        <f>IF(OR(Net!I19=0,Net!I19="NA"),0,
IF(Net!I19&gt;=10000,1,0))</f>
        <v>0</v>
      </c>
      <c r="J19" s="4">
        <f>IF(OR(Net!J19=0,Net!J19="NA"),0,
IF(Net!J19&gt;=10000,1,0))</f>
        <v>0</v>
      </c>
      <c r="K19" s="4">
        <f>IF(OR(Net!K19=0,Net!K19="NA"),0,
IF(Net!K19&gt;=10000,1,0))</f>
        <v>0</v>
      </c>
      <c r="L19" s="4">
        <f>IF(OR(Net!L19=0,Net!L19="NA"),0,
IF(Net!L19&gt;=10000,1,0))</f>
        <v>0</v>
      </c>
      <c r="M19" s="4">
        <f>IF(OR(Net!M19=0,Net!M19="NA"),0,
IF(Net!M19&gt;=10000,1,0))</f>
        <v>0</v>
      </c>
      <c r="N19" s="4">
        <f>IF(OR(Net!N19=0,Net!N19="NA"),0,
IF(Net!N19&gt;=10000,1,0))</f>
        <v>0</v>
      </c>
      <c r="O19" s="4">
        <f>IF(OR(Net!O19=0,Net!O19="NA"),0,
IF(Net!O19&gt;=10000,1,0))</f>
        <v>0</v>
      </c>
      <c r="P19" s="4">
        <f>IF(OR(Net!P19=0,Net!P19="NA"),0,
IF(Net!P19&gt;=10000,1,0))</f>
        <v>0</v>
      </c>
      <c r="Q19" s="4">
        <f>IF(OR(Net!Q19=0,Net!Q19="NA"),0,
IF(Net!Q19&gt;=10000,1,0))</f>
        <v>0</v>
      </c>
      <c r="R19" s="4">
        <f>IF(OR(Net!R19=0,Net!R19="NA"),0,
IF(Net!R19&gt;=10000,1,0))</f>
        <v>0</v>
      </c>
      <c r="S19" s="4">
        <f>IF(OR(Net!S19=0,Net!S19="NA"),0,
IF(Net!S19&gt;=10000,1,0))</f>
        <v>0</v>
      </c>
      <c r="T19" s="4">
        <f>IF(OR(Net!T19=0,Net!T19="NA"),0,
IF(Net!T19&gt;=10000,1,0))</f>
        <v>0</v>
      </c>
      <c r="U19" s="4">
        <f>IF(OR(Net!U19=0,Net!U19="NA"),0,
IF(Net!U19&gt;=10000,1,0))</f>
        <v>0</v>
      </c>
    </row>
    <row r="20" spans="1:21" x14ac:dyDescent="0.35">
      <c r="A20" s="17"/>
      <c r="B20" s="2" t="s">
        <v>17</v>
      </c>
      <c r="C20" s="4">
        <f>IF(OR(Net!C20=0,Net!C20="NA"),0,
IF(Net!C20&gt;=10000,1,0))</f>
        <v>1</v>
      </c>
      <c r="D20" s="4">
        <f>IF(OR(Net!D20=0,Net!D20="NA"),0,
IF(Net!D20&gt;=10000,1,0))</f>
        <v>0</v>
      </c>
      <c r="E20" s="4">
        <f>IF(OR(Net!E20=0,Net!E20="NA"),0,
IF(Net!E20&gt;=10000,1,0))</f>
        <v>1</v>
      </c>
      <c r="F20" s="4">
        <f>IF(OR(Net!F20=0,Net!F20="NA"),0,
IF(Net!F20&gt;=10000,1,0))</f>
        <v>0</v>
      </c>
      <c r="G20" s="4">
        <f>IF(OR(Net!G20=0,Net!G20="NA"),0,
IF(Net!G20&gt;=10000,1,0))</f>
        <v>0</v>
      </c>
      <c r="H20" s="4">
        <f>IF(OR(Net!H20=0,Net!H20="NA"),0,
IF(Net!H20&gt;=10000,1,0))</f>
        <v>0</v>
      </c>
      <c r="I20" s="4">
        <f>IF(OR(Net!I20=0,Net!I20="NA"),0,
IF(Net!I20&gt;=10000,1,0))</f>
        <v>0</v>
      </c>
      <c r="J20" s="4">
        <f>IF(OR(Net!J20=0,Net!J20="NA"),0,
IF(Net!J20&gt;=10000,1,0))</f>
        <v>0</v>
      </c>
      <c r="K20" s="4">
        <f>IF(OR(Net!K20=0,Net!K20="NA"),0,
IF(Net!K20&gt;=10000,1,0))</f>
        <v>0</v>
      </c>
      <c r="L20" s="4">
        <f>IF(OR(Net!L20=0,Net!L20="NA"),0,
IF(Net!L20&gt;=10000,1,0))</f>
        <v>0</v>
      </c>
      <c r="M20" s="4">
        <f>IF(OR(Net!M20=0,Net!M20="NA"),0,
IF(Net!M20&gt;=10000,1,0))</f>
        <v>0</v>
      </c>
      <c r="N20" s="4">
        <f>IF(OR(Net!N20=0,Net!N20="NA"),0,
IF(Net!N20&gt;=10000,1,0))</f>
        <v>0</v>
      </c>
      <c r="O20" s="4">
        <f>IF(OR(Net!O20=0,Net!O20="NA"),0,
IF(Net!O20&gt;=10000,1,0))</f>
        <v>0</v>
      </c>
      <c r="P20" s="4">
        <f>IF(OR(Net!P20=0,Net!P20="NA"),0,
IF(Net!P20&gt;=10000,1,0))</f>
        <v>0</v>
      </c>
      <c r="Q20" s="4">
        <f>IF(OR(Net!Q20=0,Net!Q20="NA"),0,
IF(Net!Q20&gt;=10000,1,0))</f>
        <v>0</v>
      </c>
      <c r="R20" s="4">
        <f>IF(OR(Net!R20=0,Net!R20="NA"),0,
IF(Net!R20&gt;=10000,1,0))</f>
        <v>0</v>
      </c>
      <c r="S20" s="4">
        <f>IF(OR(Net!S20=0,Net!S20="NA"),0,
IF(Net!S20&gt;=10000,1,0))</f>
        <v>1</v>
      </c>
      <c r="T20" s="4">
        <f>IF(OR(Net!T20=0,Net!T20="NA"),0,
IF(Net!T20&gt;=10000,1,0))</f>
        <v>0</v>
      </c>
      <c r="U20" s="4">
        <f>IF(OR(Net!U20=0,Net!U20="NA"),0,
IF(Net!U20&gt;=10000,1,0))</f>
        <v>0</v>
      </c>
    </row>
    <row r="21" spans="1:21" x14ac:dyDescent="0.35">
      <c r="A21" s="17"/>
      <c r="B21" s="2" t="s">
        <v>18</v>
      </c>
      <c r="C21" s="4">
        <f>IF(OR(Net!C21=0,Net!C21="NA"),0,
IF(Net!C21&gt;=10000,1,0))</f>
        <v>0</v>
      </c>
      <c r="D21" s="4">
        <f>IF(OR(Net!D21=0,Net!D21="NA"),0,
IF(Net!D21&gt;=10000,1,0))</f>
        <v>0</v>
      </c>
      <c r="E21" s="4">
        <f>IF(OR(Net!E21=0,Net!E21="NA"),0,
IF(Net!E21&gt;=10000,1,0))</f>
        <v>0</v>
      </c>
      <c r="F21" s="4">
        <f>IF(OR(Net!F21=0,Net!F21="NA"),0,
IF(Net!F21&gt;=10000,1,0))</f>
        <v>0</v>
      </c>
      <c r="G21" s="4">
        <f>IF(OR(Net!G21=0,Net!G21="NA"),0,
IF(Net!G21&gt;=10000,1,0))</f>
        <v>0</v>
      </c>
      <c r="H21" s="4">
        <f>IF(OR(Net!H21=0,Net!H21="NA"),0,
IF(Net!H21&gt;=10000,1,0))</f>
        <v>0</v>
      </c>
      <c r="I21" s="4">
        <f>IF(OR(Net!I21=0,Net!I21="NA"),0,
IF(Net!I21&gt;=10000,1,0))</f>
        <v>0</v>
      </c>
      <c r="J21" s="4">
        <f>IF(OR(Net!J21=0,Net!J21="NA"),0,
IF(Net!J21&gt;=10000,1,0))</f>
        <v>0</v>
      </c>
      <c r="K21" s="4">
        <f>IF(OR(Net!K21=0,Net!K21="NA"),0,
IF(Net!K21&gt;=10000,1,0))</f>
        <v>0</v>
      </c>
      <c r="L21" s="4">
        <f>IF(OR(Net!L21=0,Net!L21="NA"),0,
IF(Net!L21&gt;=10000,1,0))</f>
        <v>0</v>
      </c>
      <c r="M21" s="4">
        <f>IF(OR(Net!M21=0,Net!M21="NA"),0,
IF(Net!M21&gt;=10000,1,0))</f>
        <v>0</v>
      </c>
      <c r="N21" s="4">
        <f>IF(OR(Net!N21=0,Net!N21="NA"),0,
IF(Net!N21&gt;=10000,1,0))</f>
        <v>0</v>
      </c>
      <c r="O21" s="4">
        <f>IF(OR(Net!O21=0,Net!O21="NA"),0,
IF(Net!O21&gt;=10000,1,0))</f>
        <v>0</v>
      </c>
      <c r="P21" s="4">
        <f>IF(OR(Net!P21=0,Net!P21="NA"),0,
IF(Net!P21&gt;=10000,1,0))</f>
        <v>0</v>
      </c>
      <c r="Q21" s="4">
        <f>IF(OR(Net!Q21=0,Net!Q21="NA"),0,
IF(Net!Q21&gt;=10000,1,0))</f>
        <v>0</v>
      </c>
      <c r="R21" s="4">
        <f>IF(OR(Net!R21=0,Net!R21="NA"),0,
IF(Net!R21&gt;=10000,1,0))</f>
        <v>0</v>
      </c>
      <c r="S21" s="4">
        <f>IF(OR(Net!S21=0,Net!S21="NA"),0,
IF(Net!S21&gt;=10000,1,0))</f>
        <v>1</v>
      </c>
      <c r="T21" s="4">
        <f>IF(OR(Net!T21=0,Net!T21="NA"),0,
IF(Net!T21&gt;=10000,1,0))</f>
        <v>0</v>
      </c>
      <c r="U21" s="4">
        <f>IF(OR(Net!U21=0,Net!U21="NA"),0,
IF(Net!U21&gt;=10000,1,0))</f>
        <v>0</v>
      </c>
    </row>
    <row r="27" spans="1:21" x14ac:dyDescent="0.35">
      <c r="Q27" t="s">
        <v>19</v>
      </c>
    </row>
    <row r="30" spans="1:21" x14ac:dyDescent="0.35">
      <c r="T30" t="s">
        <v>19</v>
      </c>
    </row>
  </sheetData>
  <mergeCells count="2">
    <mergeCell ref="C1:U1"/>
    <mergeCell ref="A3:A21"/>
  </mergeCells>
  <conditionalFormatting sqref="C3:U21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Differences Matrix</vt:lpstr>
      <vt:lpstr>Immigration</vt:lpstr>
      <vt:lpstr>Net</vt:lpstr>
      <vt:lpstr>Net_PositivesOnly</vt:lpstr>
      <vt:lpstr>Per_1000</vt:lpstr>
      <vt:lpstr>Country_Pop</vt:lpstr>
      <vt:lpstr>Net_binary_10,000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Hebl</dc:creator>
  <cp:lastModifiedBy>Hebl Jr, Joey</cp:lastModifiedBy>
  <dcterms:created xsi:type="dcterms:W3CDTF">2024-11-21T02:56:34Z</dcterms:created>
  <dcterms:modified xsi:type="dcterms:W3CDTF">2024-12-12T20:37:02Z</dcterms:modified>
</cp:coreProperties>
</file>