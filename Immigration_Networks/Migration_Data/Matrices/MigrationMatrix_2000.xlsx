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_Data/Matrices/"/>
    </mc:Choice>
  </mc:AlternateContent>
  <xr:revisionPtr revIDLastSave="30" documentId="8_{E82EA62B-2AE6-4452-9738-EA1BBE15038D}" xr6:coauthVersionLast="47" xr6:coauthVersionMax="47" xr10:uidLastSave="{8E79187B-A361-4289-9CE8-82B62E0C164B}"/>
  <bookViews>
    <workbookView xWindow="-108" yWindow="-108" windowWidth="23256" windowHeight="12456" xr2:uid="{54F4A6BC-E46E-408A-A193-B52CFF00BC25}"/>
  </bookViews>
  <sheets>
    <sheet name="Matrix_2000" sheetId="1" r:id="rId1"/>
    <sheet name="UNDESA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<sst xmlns="http://schemas.openxmlformats.org/spreadsheetml/2006/main" count="669" uniqueCount="40">
  <si>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</si>
  <si>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</si>
  <si>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</si>
  <si>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</si>
  <si>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</si>
  <si>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</si>
  <si>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</si>
  <si>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</si>
  <si>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</si>
  <si>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</si>
  <si>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</si>
  <si>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</si>
  <si>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</si>
  <si>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</si>
  <si>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</si>
  <si>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</si>
  <si>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</si>
  <si>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</si>
  <si>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</si>
  <si>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>Index</t>
  </si>
  <si>
    <t>Region, development group, country or area of destination</t>
  </si>
  <si>
    <t>Notes of destination</t>
  </si>
  <si>
    <t>Region, development group, country or area of origin</t>
  </si>
  <si>
    <t>Matching</t>
  </si>
  <si>
    <t xml:space="preserve">   Argentina</t>
  </si>
  <si>
    <t xml:space="preserve">   Brazil</t>
  </si>
  <si>
    <t xml:space="preserve">   Canada</t>
  </si>
  <si>
    <t xml:space="preserve">   Chile</t>
  </si>
  <si>
    <t xml:space="preserve">   Colombia</t>
  </si>
  <si>
    <t xml:space="preserve">   Costa Rica</t>
  </si>
  <si>
    <t xml:space="preserve">   Ecuador</t>
  </si>
  <si>
    <t xml:space="preserve">   El Salvador</t>
  </si>
  <si>
    <t xml:space="preserve">   Guatemala</t>
  </si>
  <si>
    <t xml:space="preserve">   Honduras</t>
  </si>
  <si>
    <t xml:space="preserve">   Mexico</t>
  </si>
  <si>
    <t xml:space="preserve">   Nicaragua</t>
  </si>
  <si>
    <t xml:space="preserve">   Panama</t>
  </si>
  <si>
    <t xml:space="preserve">   Paraguay</t>
  </si>
  <si>
    <t xml:space="preserve">   Peru</t>
  </si>
  <si>
    <t xml:space="preserve">  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</si>
</sst>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;\-###\ ###\ ##0;..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Display"/>
      <family val="1"/>
      <scheme val="major"/>
    </font>
    <font>
      <sz val="8"/>
      <name val="Arial"/>
      <family val="2"/>
    </font>
    <font>
      <b/>
      <sz val="8.5"/>
      <color indexed="9"/>
      <name val="Arial"/>
      <family val="2"/>
    </font>
    <font>
      <sz val="8.5"/>
      <name val="Arial"/>
      <family val="2"/>
    </font>
    <font>
      <b/>
      <sz val="8.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22D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/>
    <xf numFmtId="0" fontId="4" fillId="5" borderId="2" xfId="1" applyFont="1" applyFill="1" applyBorder="1" applyAlignment="1">
      <alignment horizontal="center" wrapText="1"/>
    </xf>
    <xf numFmtId="0" fontId="4" fillId="5" borderId="0" xfId="1" applyFont="1" applyFill="1" applyAlignment="1">
      <alignment wrapText="1"/>
    </xf>
    <xf numFmtId="0" fontId="4" fillId="5" borderId="3" xfId="1" applyFont="1" applyFill="1" applyBorder="1" applyAlignment="1">
      <alignment horizontal="center"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/>
    <xf numFmtId="164" fontId="5" fillId="6" borderId="0" xfId="0" applyNumberFormat="1" applyFont="1" applyFill="1"/>
    <xf numFmtId="0" fontId="5" fillId="7" borderId="0" xfId="0" applyFont="1" applyFill="1" applyAlignment="1">
      <alignment horizontal="center"/>
    </xf>
    <xf numFmtId="0" fontId="5" fillId="7" borderId="0" xfId="0" applyFont="1" applyFill="1"/>
    <xf numFmtId="164" fontId="5" fillId="7" borderId="0" xfId="0" applyNumberFormat="1" applyFont="1" applyFill="1"/>
    <xf numFmtId="0" fontId="6" fillId="8" borderId="0" xfId="0" applyFont="1" applyFill="1"/>
    <xf numFmtId="164" fontId="6" fillId="8" borderId="0" xfId="0" applyNumberFormat="1" applyFont="1" applyFill="1"/>
  </cellXfs>
  <cellStyles count="2">
    <cellStyle name="Normal" xfId="0" builtinId="0"/>
    <cellStyle name="Normal 20" xfId="1" xr:uid="{C23699E6-FF4C-4059-9705-F9346A5C6B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23F2-F4BA-4513-96CB-92CF9D613F15}">
  <dimension ref="A1:T20"/>
  <sheetViews>
    <sheetView tabSelected="1" workbookViewId="0">
      <selection activeCell="B2" sqref="B2:T20"/>
    </sheetView>
  </sheetViews>
  <sheetFormatPr defaultRowHeight="14.4" x14ac:dyDescent="0.3"/>
  <cols>
    <col min="2" max="2" width="9.44140625" style="5" bestFit="1" customWidth="1"/>
    <col min="3" max="4" width="9" style="5" bestFit="1" customWidth="1"/>
    <col min="5" max="5" width="9.44140625" style="5" bestFit="1" customWidth="1"/>
    <col min="6" max="10" width="9" style="5" bestFit="1" customWidth="1"/>
    <col min="11" max="13" width="9.44140625" style="5" bestFit="1" customWidth="1"/>
    <col min="14" max="15" width="9" style="5" bestFit="1" customWidth="1"/>
    <col min="16" max="16" width="9.44140625" style="5" bestFit="1" customWidth="1"/>
    <col min="17" max="17" width="9" style="5" bestFit="1" customWidth="1"/>
    <col min="18" max="18" width="10.44140625" style="5" bestFit="1" customWidth="1"/>
    <col min="19" max="19" width="9" style="5" bestFit="1" customWidth="1"/>
    <col min="20" max="20" width="9.44140625" style="5" bestFit="1" customWidth="1"/>
  </cols>
  <sheetData>
    <row r="1" spans="1:20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s="3" t="s">
        <v>0</v>
      </c>
      <c r="B2" s="4">
        <f ca="1">_xlfn.IFNA(OFFSET(UNDESA_Data!$G$1,MATCH(B$1&amp;"_"&amp;$A2,UNDESA_Data!$L:$L,0)-1,0),0)</f>
        <v>0</v>
      </c>
      <c r="C2" s="4">
        <f ca="1">_xlfn.IFNA(OFFSET(UNDESA_Data!$G$1,MATCH(C$1&amp;"_"&amp;$A2,UNDESA_Data!$L:$L,0)-1,0),0)</f>
        <v>28095</v>
      </c>
      <c r="D2" s="4">
        <f ca="1">_xlfn.IFNA(OFFSET(UNDESA_Data!$G$1,MATCH(D$1&amp;"_"&amp;$A2,UNDESA_Data!$L:$L,0)-1,0),0)</f>
        <v>27597</v>
      </c>
      <c r="E2" s="4">
        <f ca="1">_xlfn.IFNA(OFFSET(UNDESA_Data!$G$1,MATCH(E$1&amp;"_"&amp;$A2,UNDESA_Data!$L:$L,0)-1,0),0)</f>
        <v>13698</v>
      </c>
      <c r="F2" s="4">
        <f ca="1">_xlfn.IFNA(OFFSET(UNDESA_Data!$G$1,MATCH(F$1&amp;"_"&amp;$A2,UNDESA_Data!$L:$L,0)-1,0),0)</f>
        <v>45770</v>
      </c>
      <c r="G2" s="4">
        <f ca="1">_xlfn.IFNA(OFFSET(UNDESA_Data!$G$1,MATCH(G$1&amp;"_"&amp;$A2,UNDESA_Data!$L:$L,0)-1,0),0)</f>
        <v>2582</v>
      </c>
      <c r="H2" s="4">
        <f ca="1">_xlfn.IFNA(OFFSET(UNDESA_Data!$G$1,MATCH(H$1&amp;"_"&amp;$A2,UNDESA_Data!$L:$L,0)-1,0),0)</f>
        <v>1120</v>
      </c>
      <c r="I2" s="4">
        <f ca="1">_xlfn.IFNA(OFFSET(UNDESA_Data!$G$1,MATCH(I$1&amp;"_"&amp;$A2,UNDESA_Data!$L:$L,0)-1,0),0)</f>
        <v>2239</v>
      </c>
      <c r="J2" s="4">
        <f ca="1">_xlfn.IFNA(OFFSET(UNDESA_Data!$G$1,MATCH(J$1&amp;"_"&amp;$A2,UNDESA_Data!$L:$L,0)-1,0),0)</f>
        <v>166</v>
      </c>
      <c r="K2" s="4">
        <f ca="1">_xlfn.IFNA(OFFSET(UNDESA_Data!$G$1,MATCH(K$1&amp;"_"&amp;$A2,UNDESA_Data!$L:$L,0)-1,0),0)</f>
        <v>350</v>
      </c>
      <c r="L2" s="4">
        <f ca="1">_xlfn.IFNA(OFFSET(UNDESA_Data!$G$1,MATCH(L$1&amp;"_"&amp;$A2,UNDESA_Data!$L:$L,0)-1,0),0)</f>
        <v>142</v>
      </c>
      <c r="M2" s="4">
        <f ca="1">_xlfn.IFNA(OFFSET(UNDESA_Data!$G$1,MATCH(M$1&amp;"_"&amp;$A2,UNDESA_Data!$L:$L,0)-1,0),0)</f>
        <v>6625</v>
      </c>
      <c r="N2" s="4">
        <f ca="1">_xlfn.IFNA(OFFSET(UNDESA_Data!$G$1,MATCH(N$1&amp;"_"&amp;$A2,UNDESA_Data!$L:$L,0)-1,0),0)</f>
        <v>188</v>
      </c>
      <c r="O2" s="4">
        <f ca="1">_xlfn.IFNA(OFFSET(UNDESA_Data!$G$1,MATCH(O$1&amp;"_"&amp;$A2,UNDESA_Data!$L:$L,0)-1,0),0)</f>
        <v>796</v>
      </c>
      <c r="P2" s="4">
        <f ca="1">_xlfn.IFNA(OFFSET(UNDESA_Data!$G$1,MATCH(P$1&amp;"_"&amp;$A2,UNDESA_Data!$L:$L,0)-1,0),0)</f>
        <v>64404</v>
      </c>
      <c r="Q2" s="4">
        <f ca="1">_xlfn.IFNA(OFFSET(UNDESA_Data!$G$1,MATCH(Q$1&amp;"_"&amp;$A2,UNDESA_Data!$L:$L,0)-1,0),0)</f>
        <v>8282</v>
      </c>
      <c r="R2" s="4">
        <f ca="1">_xlfn.IFNA(OFFSET(UNDESA_Data!$G$1,MATCH(R$1&amp;"_"&amp;$A2,UNDESA_Data!$L:$L,0)-1,0),0)</f>
        <v>128397</v>
      </c>
      <c r="S2" s="4">
        <f ca="1">_xlfn.IFNA(OFFSET(UNDESA_Data!$G$1,MATCH(S$1&amp;"_"&amp;$A2,UNDESA_Data!$L:$L,0)-1,0),0)</f>
        <v>21691</v>
      </c>
      <c r="T2" s="4">
        <f ca="1">_xlfn.IFNA(OFFSET(UNDESA_Data!$G$1,MATCH(T$1&amp;"_"&amp;$A2,UNDESA_Data!$L:$L,0)-1,0),0)</f>
        <v>8724</v>
      </c>
    </row>
    <row r="3" spans="1:20" x14ac:dyDescent="0.3">
      <c r="A3" s="3" t="s">
        <v>1</v>
      </c>
      <c r="B3" s="4">
        <f ca="1">_xlfn.IFNA(OFFSET(UNDESA_Data!$G$1,MATCH(B$1&amp;"_"&amp;$A3,UNDESA_Data!$L:$L,0)-1,0),0)</f>
        <v>226137</v>
      </c>
      <c r="C3" s="4">
        <f ca="1">_xlfn.IFNA(OFFSET(UNDESA_Data!$G$1,MATCH(C$1&amp;"_"&amp;$A3,UNDESA_Data!$L:$L,0)-1,0),0)</f>
        <v>0</v>
      </c>
      <c r="D3" s="4">
        <f ca="1">_xlfn.IFNA(OFFSET(UNDESA_Data!$G$1,MATCH(D$1&amp;"_"&amp;$A3,UNDESA_Data!$L:$L,0)-1,0),0)</f>
        <v>20437</v>
      </c>
      <c r="E3" s="4">
        <f ca="1">_xlfn.IFNA(OFFSET(UNDESA_Data!$G$1,MATCH(E$1&amp;"_"&amp;$A3,UNDESA_Data!$L:$L,0)-1,0),0)</f>
        <v>2397</v>
      </c>
      <c r="F3" s="4">
        <f ca="1">_xlfn.IFNA(OFFSET(UNDESA_Data!$G$1,MATCH(F$1&amp;"_"&amp;$A3,UNDESA_Data!$L:$L,0)-1,0),0)</f>
        <v>10568</v>
      </c>
      <c r="G3" s="4">
        <f ca="1">_xlfn.IFNA(OFFSET(UNDESA_Data!$G$1,MATCH(G$1&amp;"_"&amp;$A3,UNDESA_Data!$L:$L,0)-1,0),0)</f>
        <v>671</v>
      </c>
      <c r="H3" s="4">
        <f ca="1">_xlfn.IFNA(OFFSET(UNDESA_Data!$G$1,MATCH(H$1&amp;"_"&amp;$A3,UNDESA_Data!$L:$L,0)-1,0),0)</f>
        <v>282</v>
      </c>
      <c r="I3" s="4">
        <f ca="1">_xlfn.IFNA(OFFSET(UNDESA_Data!$G$1,MATCH(I$1&amp;"_"&amp;$A3,UNDESA_Data!$L:$L,0)-1,0),0)</f>
        <v>634</v>
      </c>
      <c r="J3" s="4">
        <f ca="1">_xlfn.IFNA(OFFSET(UNDESA_Data!$G$1,MATCH(J$1&amp;"_"&amp;$A3,UNDESA_Data!$L:$L,0)-1,0),0)</f>
        <v>44</v>
      </c>
      <c r="K3" s="4">
        <f ca="1">_xlfn.IFNA(OFFSET(UNDESA_Data!$G$1,MATCH(K$1&amp;"_"&amp;$A3,UNDESA_Data!$L:$L,0)-1,0),0)</f>
        <v>86</v>
      </c>
      <c r="L3" s="4">
        <f ca="1">_xlfn.IFNA(OFFSET(UNDESA_Data!$G$1,MATCH(L$1&amp;"_"&amp;$A3,UNDESA_Data!$L:$L,0)-1,0),0)</f>
        <v>110</v>
      </c>
      <c r="M3" s="4">
        <f ca="1">_xlfn.IFNA(OFFSET(UNDESA_Data!$G$1,MATCH(M$1&amp;"_"&amp;$A3,UNDESA_Data!$L:$L,0)-1,0),0)</f>
        <v>2007</v>
      </c>
      <c r="N3" s="4">
        <f ca="1">_xlfn.IFNA(OFFSET(UNDESA_Data!$G$1,MATCH(N$1&amp;"_"&amp;$A3,UNDESA_Data!$L:$L,0)-1,0),0)</f>
        <v>46</v>
      </c>
      <c r="O3" s="4">
        <f ca="1">_xlfn.IFNA(OFFSET(UNDESA_Data!$G$1,MATCH(O$1&amp;"_"&amp;$A3,UNDESA_Data!$L:$L,0)-1,0),0)</f>
        <v>189</v>
      </c>
      <c r="P3" s="4">
        <f ca="1">_xlfn.IFNA(OFFSET(UNDESA_Data!$G$1,MATCH(P$1&amp;"_"&amp;$A3,UNDESA_Data!$L:$L,0)-1,0),0)</f>
        <v>1140</v>
      </c>
      <c r="Q3" s="4">
        <f ca="1">_xlfn.IFNA(OFFSET(UNDESA_Data!$G$1,MATCH(Q$1&amp;"_"&amp;$A3,UNDESA_Data!$L:$L,0)-1,0),0)</f>
        <v>4174</v>
      </c>
      <c r="R3" s="4">
        <f ca="1">_xlfn.IFNA(OFFSET(UNDESA_Data!$G$1,MATCH(R$1&amp;"_"&amp;$A3,UNDESA_Data!$L:$L,0)-1,0),0)</f>
        <v>54630</v>
      </c>
      <c r="S3" s="4">
        <f ca="1">_xlfn.IFNA(OFFSET(UNDESA_Data!$G$1,MATCH(S$1&amp;"_"&amp;$A3,UNDESA_Data!$L:$L,0)-1,0),0)</f>
        <v>0</v>
      </c>
      <c r="T3" s="4">
        <f ca="1">_xlfn.IFNA(OFFSET(UNDESA_Data!$G$1,MATCH(T$1&amp;"_"&amp;$A3,UNDESA_Data!$L:$L,0)-1,0),0)</f>
        <v>1838</v>
      </c>
    </row>
    <row r="4" spans="1:20" x14ac:dyDescent="0.3">
      <c r="A4" s="3" t="s">
        <v>2</v>
      </c>
      <c r="B4" s="4">
        <f ca="1">_xlfn.IFNA(OFFSET(UNDESA_Data!$G$1,MATCH(B$1&amp;"_"&amp;$A4,UNDESA_Data!$L:$L,0)-1,0),0)</f>
        <v>32925</v>
      </c>
      <c r="C4" s="4">
        <f ca="1">_xlfn.IFNA(OFFSET(UNDESA_Data!$G$1,MATCH(C$1&amp;"_"&amp;$A4,UNDESA_Data!$L:$L,0)-1,0),0)</f>
        <v>14801</v>
      </c>
      <c r="D4" s="4">
        <f ca="1">_xlfn.IFNA(OFFSET(UNDESA_Data!$G$1,MATCH(D$1&amp;"_"&amp;$A4,UNDESA_Data!$L:$L,0)-1,0),0)</f>
        <v>0</v>
      </c>
      <c r="E4" s="4">
        <f ca="1">_xlfn.IFNA(OFFSET(UNDESA_Data!$G$1,MATCH(E$1&amp;"_"&amp;$A4,UNDESA_Data!$L:$L,0)-1,0),0)</f>
        <v>13327</v>
      </c>
      <c r="F4" s="4">
        <f ca="1">_xlfn.IFNA(OFFSET(UNDESA_Data!$G$1,MATCH(F$1&amp;"_"&amp;$A4,UNDESA_Data!$L:$L,0)-1,0),0)</f>
        <v>6886</v>
      </c>
      <c r="G4" s="4">
        <f ca="1">_xlfn.IFNA(OFFSET(UNDESA_Data!$G$1,MATCH(G$1&amp;"_"&amp;$A4,UNDESA_Data!$L:$L,0)-1,0),0)</f>
        <v>1889</v>
      </c>
      <c r="H4" s="4">
        <f ca="1">_xlfn.IFNA(OFFSET(UNDESA_Data!$G$1,MATCH(H$1&amp;"_"&amp;$A4,UNDESA_Data!$L:$L,0)-1,0),0)</f>
        <v>415</v>
      </c>
      <c r="I4" s="4">
        <f ca="1">_xlfn.IFNA(OFFSET(UNDESA_Data!$G$1,MATCH(I$1&amp;"_"&amp;$A4,UNDESA_Data!$L:$L,0)-1,0),0)</f>
        <v>1101</v>
      </c>
      <c r="J4" s="4">
        <f ca="1">_xlfn.IFNA(OFFSET(UNDESA_Data!$G$1,MATCH(J$1&amp;"_"&amp;$A4,UNDESA_Data!$L:$L,0)-1,0),0)</f>
        <v>198</v>
      </c>
      <c r="K4" s="4">
        <f ca="1">_xlfn.IFNA(OFFSET(UNDESA_Data!$G$1,MATCH(K$1&amp;"_"&amp;$A4,UNDESA_Data!$L:$L,0)-1,0),0)</f>
        <v>151</v>
      </c>
      <c r="L4" s="4">
        <f ca="1">_xlfn.IFNA(OFFSET(UNDESA_Data!$G$1,MATCH(L$1&amp;"_"&amp;$A4,UNDESA_Data!$L:$L,0)-1,0),0)</f>
        <v>176</v>
      </c>
      <c r="M4" s="4">
        <f ca="1">_xlfn.IFNA(OFFSET(UNDESA_Data!$G$1,MATCH(M$1&amp;"_"&amp;$A4,UNDESA_Data!$L:$L,0)-1,0),0)</f>
        <v>3391</v>
      </c>
      <c r="N4" s="4">
        <f ca="1">_xlfn.IFNA(OFFSET(UNDESA_Data!$G$1,MATCH(N$1&amp;"_"&amp;$A4,UNDESA_Data!$L:$L,0)-1,0),0)</f>
        <v>107</v>
      </c>
      <c r="O4" s="4">
        <f ca="1">_xlfn.IFNA(OFFSET(UNDESA_Data!$G$1,MATCH(O$1&amp;"_"&amp;$A4,UNDESA_Data!$L:$L,0)-1,0),0)</f>
        <v>802</v>
      </c>
      <c r="P4" s="4">
        <f ca="1">_xlfn.IFNA(OFFSET(UNDESA_Data!$G$1,MATCH(P$1&amp;"_"&amp;$A4,UNDESA_Data!$L:$L,0)-1,0),0)</f>
        <v>83208</v>
      </c>
      <c r="Q4" s="4">
        <f ca="1">_xlfn.IFNA(OFFSET(UNDESA_Data!$G$1,MATCH(Q$1&amp;"_"&amp;$A4,UNDESA_Data!$L:$L,0)-1,0),0)</f>
        <v>3545</v>
      </c>
      <c r="R4" s="4">
        <f ca="1">_xlfn.IFNA(OFFSET(UNDESA_Data!$G$1,MATCH(R$1&amp;"_"&amp;$A4,UNDESA_Data!$L:$L,0)-1,0),0)</f>
        <v>217822</v>
      </c>
      <c r="S4" s="4">
        <f ca="1">_xlfn.IFNA(OFFSET(UNDESA_Data!$G$1,MATCH(S$1&amp;"_"&amp;$A4,UNDESA_Data!$L:$L,0)-1,0),0)</f>
        <v>11507</v>
      </c>
      <c r="T4" s="4">
        <f ca="1">_xlfn.IFNA(OFFSET(UNDESA_Data!$G$1,MATCH(T$1&amp;"_"&amp;$A4,UNDESA_Data!$L:$L,0)-1,0),0)</f>
        <v>4828</v>
      </c>
    </row>
    <row r="5" spans="1:20" x14ac:dyDescent="0.3">
      <c r="A5" s="3" t="s">
        <v>3</v>
      </c>
      <c r="B5" s="4">
        <f ca="1">_xlfn.IFNA(OFFSET(UNDESA_Data!$G$1,MATCH(B$1&amp;"_"&amp;$A5,UNDESA_Data!$L:$L,0)-1,0),0)</f>
        <v>1110</v>
      </c>
      <c r="C5" s="4">
        <f ca="1">_xlfn.IFNA(OFFSET(UNDESA_Data!$G$1,MATCH(C$1&amp;"_"&amp;$A5,UNDESA_Data!$L:$L,0)-1,0),0)</f>
        <v>1672</v>
      </c>
      <c r="D5" s="4">
        <f ca="1">_xlfn.IFNA(OFFSET(UNDESA_Data!$G$1,MATCH(D$1&amp;"_"&amp;$A5,UNDESA_Data!$L:$L,0)-1,0),0)</f>
        <v>1256</v>
      </c>
      <c r="E5" s="4">
        <f ca="1">_xlfn.IFNA(OFFSET(UNDESA_Data!$G$1,MATCH(E$1&amp;"_"&amp;$A5,UNDESA_Data!$L:$L,0)-1,0),0)</f>
        <v>0</v>
      </c>
      <c r="F5" s="4">
        <f ca="1">_xlfn.IFNA(OFFSET(UNDESA_Data!$G$1,MATCH(F$1&amp;"_"&amp;$A5,UNDESA_Data!$L:$L,0)-1,0),0)</f>
        <v>0</v>
      </c>
      <c r="G5" s="4">
        <f ca="1">_xlfn.IFNA(OFFSET(UNDESA_Data!$G$1,MATCH(G$1&amp;"_"&amp;$A5,UNDESA_Data!$L:$L,0)-1,0),0)</f>
        <v>780</v>
      </c>
      <c r="H5" s="4">
        <f ca="1">_xlfn.IFNA(OFFSET(UNDESA_Data!$G$1,MATCH(H$1&amp;"_"&amp;$A5,UNDESA_Data!$L:$L,0)-1,0),0)</f>
        <v>1074</v>
      </c>
      <c r="I5" s="4">
        <f ca="1">_xlfn.IFNA(OFFSET(UNDESA_Data!$G$1,MATCH(I$1&amp;"_"&amp;$A5,UNDESA_Data!$L:$L,0)-1,0),0)</f>
        <v>971</v>
      </c>
      <c r="J5" s="4">
        <f ca="1">_xlfn.IFNA(OFFSET(UNDESA_Data!$G$1,MATCH(J$1&amp;"_"&amp;$A5,UNDESA_Data!$L:$L,0)-1,0),0)</f>
        <v>249</v>
      </c>
      <c r="K5" s="4">
        <f ca="1">_xlfn.IFNA(OFFSET(UNDESA_Data!$G$1,MATCH(K$1&amp;"_"&amp;$A5,UNDESA_Data!$L:$L,0)-1,0),0)</f>
        <v>251</v>
      </c>
      <c r="L5" s="4">
        <f ca="1">_xlfn.IFNA(OFFSET(UNDESA_Data!$G$1,MATCH(L$1&amp;"_"&amp;$A5,UNDESA_Data!$L:$L,0)-1,0),0)</f>
        <v>259</v>
      </c>
      <c r="M5" s="4">
        <f ca="1">_xlfn.IFNA(OFFSET(UNDESA_Data!$G$1,MATCH(M$1&amp;"_"&amp;$A5,UNDESA_Data!$L:$L,0)-1,0),0)</f>
        <v>7245</v>
      </c>
      <c r="N5" s="4">
        <f ca="1">_xlfn.IFNA(OFFSET(UNDESA_Data!$G$1,MATCH(N$1&amp;"_"&amp;$A5,UNDESA_Data!$L:$L,0)-1,0),0)</f>
        <v>180</v>
      </c>
      <c r="O5" s="4">
        <f ca="1">_xlfn.IFNA(OFFSET(UNDESA_Data!$G$1,MATCH(O$1&amp;"_"&amp;$A5,UNDESA_Data!$L:$L,0)-1,0),0)</f>
        <v>438</v>
      </c>
      <c r="P5" s="4">
        <f ca="1">_xlfn.IFNA(OFFSET(UNDESA_Data!$G$1,MATCH(P$1&amp;"_"&amp;$A5,UNDESA_Data!$L:$L,0)-1,0),0)</f>
        <v>2575</v>
      </c>
      <c r="Q5" s="4">
        <f ca="1">_xlfn.IFNA(OFFSET(UNDESA_Data!$G$1,MATCH(Q$1&amp;"_"&amp;$A5,UNDESA_Data!$L:$L,0)-1,0),0)</f>
        <v>893</v>
      </c>
      <c r="R5" s="4">
        <f ca="1">_xlfn.IFNA(OFFSET(UNDESA_Data!$G$1,MATCH(R$1&amp;"_"&amp;$A5,UNDESA_Data!$L:$L,0)-1,0),0)</f>
        <v>841612</v>
      </c>
      <c r="S5" s="4">
        <f ca="1">_xlfn.IFNA(OFFSET(UNDESA_Data!$G$1,MATCH(S$1&amp;"_"&amp;$A5,UNDESA_Data!$L:$L,0)-1,0),0)</f>
        <v>355</v>
      </c>
      <c r="T5" s="4">
        <f ca="1">_xlfn.IFNA(OFFSET(UNDESA_Data!$G$1,MATCH(T$1&amp;"_"&amp;$A5,UNDESA_Data!$L:$L,0)-1,0),0)</f>
        <v>964</v>
      </c>
    </row>
    <row r="6" spans="1:20" x14ac:dyDescent="0.3">
      <c r="A6" s="3" t="s">
        <v>4</v>
      </c>
      <c r="B6" s="4">
        <f ca="1">_xlfn.IFNA(OFFSET(UNDESA_Data!$G$1,MATCH(B$1&amp;"_"&amp;$A6,UNDESA_Data!$L:$L,0)-1,0),0)</f>
        <v>205945</v>
      </c>
      <c r="C6" s="4">
        <f ca="1">_xlfn.IFNA(OFFSET(UNDESA_Data!$G$1,MATCH(C$1&amp;"_"&amp;$A6,UNDESA_Data!$L:$L,0)-1,0),0)</f>
        <v>4388</v>
      </c>
      <c r="D6" s="4">
        <f ca="1">_xlfn.IFNA(OFFSET(UNDESA_Data!$G$1,MATCH(D$1&amp;"_"&amp;$A6,UNDESA_Data!$L:$L,0)-1,0),0)</f>
        <v>17172</v>
      </c>
      <c r="E6" s="4">
        <f ca="1">_xlfn.IFNA(OFFSET(UNDESA_Data!$G$1,MATCH(E$1&amp;"_"&amp;$A6,UNDESA_Data!$L:$L,0)-1,0),0)</f>
        <v>24970</v>
      </c>
      <c r="F6" s="4">
        <f ca="1">_xlfn.IFNA(OFFSET(UNDESA_Data!$G$1,MATCH(F$1&amp;"_"&amp;$A6,UNDESA_Data!$L:$L,0)-1,0),0)</f>
        <v>0</v>
      </c>
      <c r="G6" s="4">
        <f ca="1">_xlfn.IFNA(OFFSET(UNDESA_Data!$G$1,MATCH(G$1&amp;"_"&amp;$A6,UNDESA_Data!$L:$L,0)-1,0),0)</f>
        <v>1761</v>
      </c>
      <c r="H6" s="4">
        <f ca="1">_xlfn.IFNA(OFFSET(UNDESA_Data!$G$1,MATCH(H$1&amp;"_"&amp;$A6,UNDESA_Data!$L:$L,0)-1,0),0)</f>
        <v>1327</v>
      </c>
      <c r="I6" s="4">
        <f ca="1">_xlfn.IFNA(OFFSET(UNDESA_Data!$G$1,MATCH(I$1&amp;"_"&amp;$A6,UNDESA_Data!$L:$L,0)-1,0),0)</f>
        <v>4702</v>
      </c>
      <c r="J6" s="4">
        <f ca="1">_xlfn.IFNA(OFFSET(UNDESA_Data!$G$1,MATCH(J$1&amp;"_"&amp;$A6,UNDESA_Data!$L:$L,0)-1,0),0)</f>
        <v>207</v>
      </c>
      <c r="K6" s="4">
        <f ca="1">_xlfn.IFNA(OFFSET(UNDESA_Data!$G$1,MATCH(K$1&amp;"_"&amp;$A6,UNDESA_Data!$L:$L,0)-1,0),0)</f>
        <v>191</v>
      </c>
      <c r="L6" s="4">
        <f ca="1">_xlfn.IFNA(OFFSET(UNDESA_Data!$G$1,MATCH(L$1&amp;"_"&amp;$A6,UNDESA_Data!$L:$L,0)-1,0),0)</f>
        <v>230</v>
      </c>
      <c r="M6" s="4">
        <f ca="1">_xlfn.IFNA(OFFSET(UNDESA_Data!$G$1,MATCH(M$1&amp;"_"&amp;$A6,UNDESA_Data!$L:$L,0)-1,0),0)</f>
        <v>5685</v>
      </c>
      <c r="N6" s="4">
        <f ca="1">_xlfn.IFNA(OFFSET(UNDESA_Data!$G$1,MATCH(N$1&amp;"_"&amp;$A6,UNDESA_Data!$L:$L,0)-1,0),0)</f>
        <v>111</v>
      </c>
      <c r="O6" s="4">
        <f ca="1">_xlfn.IFNA(OFFSET(UNDESA_Data!$G$1,MATCH(O$1&amp;"_"&amp;$A6,UNDESA_Data!$L:$L,0)-1,0),0)</f>
        <v>1060</v>
      </c>
      <c r="P6" s="4">
        <f ca="1">_xlfn.IFNA(OFFSET(UNDESA_Data!$G$1,MATCH(P$1&amp;"_"&amp;$A6,UNDESA_Data!$L:$L,0)-1,0),0)</f>
        <v>2382</v>
      </c>
      <c r="Q6" s="4">
        <f ca="1">_xlfn.IFNA(OFFSET(UNDESA_Data!$G$1,MATCH(Q$1&amp;"_"&amp;$A6,UNDESA_Data!$L:$L,0)-1,0),0)</f>
        <v>5239</v>
      </c>
      <c r="R6" s="4">
        <f ca="1">_xlfn.IFNA(OFFSET(UNDESA_Data!$G$1,MATCH(R$1&amp;"_"&amp;$A6,UNDESA_Data!$L:$L,0)-1,0),0)</f>
        <v>82855</v>
      </c>
      <c r="S6" s="4">
        <f ca="1">_xlfn.IFNA(OFFSET(UNDESA_Data!$G$1,MATCH(S$1&amp;"_"&amp;$A6,UNDESA_Data!$L:$L,0)-1,0),0)</f>
        <v>1455</v>
      </c>
      <c r="T6" s="4">
        <f ca="1">_xlfn.IFNA(OFFSET(UNDESA_Data!$G$1,MATCH(T$1&amp;"_"&amp;$A6,UNDESA_Data!$L:$L,0)-1,0),0)</f>
        <v>15733</v>
      </c>
    </row>
    <row r="7" spans="1:20" x14ac:dyDescent="0.3">
      <c r="A7" s="3" t="s">
        <v>5</v>
      </c>
      <c r="B7" s="4">
        <f ca="1">_xlfn.IFNA(OFFSET(UNDESA_Data!$G$1,MATCH(B$1&amp;"_"&amp;$A7,UNDESA_Data!$L:$L,0)-1,0),0)</f>
        <v>3622</v>
      </c>
      <c r="C7" s="4">
        <f ca="1">_xlfn.IFNA(OFFSET(UNDESA_Data!$G$1,MATCH(C$1&amp;"_"&amp;$A7,UNDESA_Data!$L:$L,0)-1,0),0)</f>
        <v>1342</v>
      </c>
      <c r="D7" s="4">
        <f ca="1">_xlfn.IFNA(OFFSET(UNDESA_Data!$G$1,MATCH(D$1&amp;"_"&amp;$A7,UNDESA_Data!$L:$L,0)-1,0),0)</f>
        <v>4169</v>
      </c>
      <c r="E7" s="4">
        <f ca="1">_xlfn.IFNA(OFFSET(UNDESA_Data!$G$1,MATCH(E$1&amp;"_"&amp;$A7,UNDESA_Data!$L:$L,0)-1,0),0)</f>
        <v>17942</v>
      </c>
      <c r="F7" s="4">
        <f ca="1">_xlfn.IFNA(OFFSET(UNDESA_Data!$G$1,MATCH(F$1&amp;"_"&amp;$A7,UNDESA_Data!$L:$L,0)-1,0),0)</f>
        <v>3913</v>
      </c>
      <c r="G7" s="4">
        <f ca="1">_xlfn.IFNA(OFFSET(UNDESA_Data!$G$1,MATCH(G$1&amp;"_"&amp;$A7,UNDESA_Data!$L:$L,0)-1,0),0)</f>
        <v>0</v>
      </c>
      <c r="H7" s="4">
        <f ca="1">_xlfn.IFNA(OFFSET(UNDESA_Data!$G$1,MATCH(H$1&amp;"_"&amp;$A7,UNDESA_Data!$L:$L,0)-1,0),0)</f>
        <v>5995</v>
      </c>
      <c r="I7" s="4">
        <f ca="1">_xlfn.IFNA(OFFSET(UNDESA_Data!$G$1,MATCH(I$1&amp;"_"&amp;$A7,UNDESA_Data!$L:$L,0)-1,0),0)</f>
        <v>71556</v>
      </c>
      <c r="J7" s="4">
        <f ca="1">_xlfn.IFNA(OFFSET(UNDESA_Data!$G$1,MATCH(J$1&amp;"_"&amp;$A7,UNDESA_Data!$L:$L,0)-1,0),0)</f>
        <v>363</v>
      </c>
      <c r="K7" s="4">
        <f ca="1">_xlfn.IFNA(OFFSET(UNDESA_Data!$G$1,MATCH(K$1&amp;"_"&amp;$A7,UNDESA_Data!$L:$L,0)-1,0),0)</f>
        <v>730</v>
      </c>
      <c r="L7" s="4">
        <f ca="1">_xlfn.IFNA(OFFSET(UNDESA_Data!$G$1,MATCH(L$1&amp;"_"&amp;$A7,UNDESA_Data!$L:$L,0)-1,0),0)</f>
        <v>644</v>
      </c>
      <c r="M7" s="4">
        <f ca="1">_xlfn.IFNA(OFFSET(UNDESA_Data!$G$1,MATCH(M$1&amp;"_"&amp;$A7,UNDESA_Data!$L:$L,0)-1,0),0)</f>
        <v>6639</v>
      </c>
      <c r="N7" s="4">
        <f ca="1">_xlfn.IFNA(OFFSET(UNDESA_Data!$G$1,MATCH(N$1&amp;"_"&amp;$A7,UNDESA_Data!$L:$L,0)-1,0),0)</f>
        <v>309</v>
      </c>
      <c r="O7" s="4">
        <f ca="1">_xlfn.IFNA(OFFSET(UNDESA_Data!$G$1,MATCH(O$1&amp;"_"&amp;$A7,UNDESA_Data!$L:$L,0)-1,0),0)</f>
        <v>21473</v>
      </c>
      <c r="P7" s="4">
        <f ca="1">_xlfn.IFNA(OFFSET(UNDESA_Data!$G$1,MATCH(P$1&amp;"_"&amp;$A7,UNDESA_Data!$L:$L,0)-1,0),0)</f>
        <v>0</v>
      </c>
      <c r="Q7" s="4">
        <f ca="1">_xlfn.IFNA(OFFSET(UNDESA_Data!$G$1,MATCH(Q$1&amp;"_"&amp;$A7,UNDESA_Data!$L:$L,0)-1,0),0)</f>
        <v>4331</v>
      </c>
      <c r="R7" s="4">
        <f ca="1">_xlfn.IFNA(OFFSET(UNDESA_Data!$G$1,MATCH(R$1&amp;"_"&amp;$A7,UNDESA_Data!$L:$L,0)-1,0),0)</f>
        <v>522819</v>
      </c>
      <c r="S7" s="4">
        <f ca="1">_xlfn.IFNA(OFFSET(UNDESA_Data!$G$1,MATCH(S$1&amp;"_"&amp;$A7,UNDESA_Data!$L:$L,0)-1,0),0)</f>
        <v>0</v>
      </c>
      <c r="T7" s="4">
        <f ca="1">_xlfn.IFNA(OFFSET(UNDESA_Data!$G$1,MATCH(T$1&amp;"_"&amp;$A7,UNDESA_Data!$L:$L,0)-1,0),0)</f>
        <v>617257</v>
      </c>
    </row>
    <row r="8" spans="1:20" x14ac:dyDescent="0.3">
      <c r="A8" s="3" t="s">
        <v>6</v>
      </c>
      <c r="B8" s="4">
        <f ca="1">_xlfn.IFNA(OFFSET(UNDESA_Data!$G$1,MATCH(B$1&amp;"_"&amp;$A8,UNDESA_Data!$L:$L,0)-1,0),0)</f>
        <v>257</v>
      </c>
      <c r="C8" s="4">
        <f ca="1">_xlfn.IFNA(OFFSET(UNDESA_Data!$G$1,MATCH(C$1&amp;"_"&amp;$A8,UNDESA_Data!$L:$L,0)-1,0),0)</f>
        <v>141</v>
      </c>
      <c r="D8" s="4">
        <f ca="1">_xlfn.IFNA(OFFSET(UNDESA_Data!$G$1,MATCH(D$1&amp;"_"&amp;$A8,UNDESA_Data!$L:$L,0)-1,0),0)</f>
        <v>239</v>
      </c>
      <c r="E8" s="4">
        <f ca="1">_xlfn.IFNA(OFFSET(UNDESA_Data!$G$1,MATCH(E$1&amp;"_"&amp;$A8,UNDESA_Data!$L:$L,0)-1,0),0)</f>
        <v>2476</v>
      </c>
      <c r="F8" s="4">
        <f ca="1">_xlfn.IFNA(OFFSET(UNDESA_Data!$G$1,MATCH(F$1&amp;"_"&amp;$A8,UNDESA_Data!$L:$L,0)-1,0),0)</f>
        <v>0</v>
      </c>
      <c r="G8" s="4">
        <f ca="1">_xlfn.IFNA(OFFSET(UNDESA_Data!$G$1,MATCH(G$1&amp;"_"&amp;$A8,UNDESA_Data!$L:$L,0)-1,0),0)</f>
        <v>822</v>
      </c>
      <c r="H8" s="4">
        <f ca="1">_xlfn.IFNA(OFFSET(UNDESA_Data!$G$1,MATCH(H$1&amp;"_"&amp;$A8,UNDESA_Data!$L:$L,0)-1,0),0)</f>
        <v>0</v>
      </c>
      <c r="I8" s="4">
        <f ca="1">_xlfn.IFNA(OFFSET(UNDESA_Data!$G$1,MATCH(I$1&amp;"_"&amp;$A8,UNDESA_Data!$L:$L,0)-1,0),0)</f>
        <v>389</v>
      </c>
      <c r="J8" s="4">
        <f ca="1">_xlfn.IFNA(OFFSET(UNDESA_Data!$G$1,MATCH(J$1&amp;"_"&amp;$A8,UNDESA_Data!$L:$L,0)-1,0),0)</f>
        <v>818</v>
      </c>
      <c r="K8" s="4">
        <f ca="1">_xlfn.IFNA(OFFSET(UNDESA_Data!$G$1,MATCH(K$1&amp;"_"&amp;$A8,UNDESA_Data!$L:$L,0)-1,0),0)</f>
        <v>734</v>
      </c>
      <c r="L8" s="4">
        <f ca="1">_xlfn.IFNA(OFFSET(UNDESA_Data!$G$1,MATCH(L$1&amp;"_"&amp;$A8,UNDESA_Data!$L:$L,0)-1,0),0)</f>
        <v>639</v>
      </c>
      <c r="M8" s="4">
        <f ca="1">_xlfn.IFNA(OFFSET(UNDESA_Data!$G$1,MATCH(M$1&amp;"_"&amp;$A8,UNDESA_Data!$L:$L,0)-1,0),0)</f>
        <v>3166</v>
      </c>
      <c r="N8" s="4">
        <f ca="1">_xlfn.IFNA(OFFSET(UNDESA_Data!$G$1,MATCH(N$1&amp;"_"&amp;$A8,UNDESA_Data!$L:$L,0)-1,0),0)</f>
        <v>6948</v>
      </c>
      <c r="O8" s="4">
        <f ca="1">_xlfn.IFNA(OFFSET(UNDESA_Data!$G$1,MATCH(O$1&amp;"_"&amp;$A8,UNDESA_Data!$L:$L,0)-1,0),0)</f>
        <v>4654</v>
      </c>
      <c r="P8" s="4">
        <f ca="1">_xlfn.IFNA(OFFSET(UNDESA_Data!$G$1,MATCH(P$1&amp;"_"&amp;$A8,UNDESA_Data!$L:$L,0)-1,0),0)</f>
        <v>0</v>
      </c>
      <c r="Q8" s="4">
        <f ca="1">_xlfn.IFNA(OFFSET(UNDESA_Data!$G$1,MATCH(Q$1&amp;"_"&amp;$A8,UNDESA_Data!$L:$L,0)-1,0),0)</f>
        <v>246</v>
      </c>
      <c r="R8" s="4">
        <f ca="1">_xlfn.IFNA(OFFSET(UNDESA_Data!$G$1,MATCH(R$1&amp;"_"&amp;$A8,UNDESA_Data!$L:$L,0)-1,0),0)</f>
        <v>73694</v>
      </c>
      <c r="S8" s="4">
        <f ca="1">_xlfn.IFNA(OFFSET(UNDESA_Data!$G$1,MATCH(S$1&amp;"_"&amp;$A8,UNDESA_Data!$L:$L,0)-1,0),0)</f>
        <v>0</v>
      </c>
      <c r="T8" s="4">
        <f ca="1">_xlfn.IFNA(OFFSET(UNDESA_Data!$G$1,MATCH(T$1&amp;"_"&amp;$A8,UNDESA_Data!$L:$L,0)-1,0),0)</f>
        <v>1178</v>
      </c>
    </row>
    <row r="9" spans="1:20" x14ac:dyDescent="0.3">
      <c r="A9" s="3" t="s">
        <v>7</v>
      </c>
      <c r="B9" s="4">
        <f ca="1">_xlfn.IFNA(OFFSET(UNDESA_Data!$G$1,MATCH(B$1&amp;"_"&amp;$A9,UNDESA_Data!$L:$L,0)-1,0),0)</f>
        <v>2004</v>
      </c>
      <c r="C9" s="4">
        <f ca="1">_xlfn.IFNA(OFFSET(UNDESA_Data!$G$1,MATCH(C$1&amp;"_"&amp;$A9,UNDESA_Data!$L:$L,0)-1,0),0)</f>
        <v>738</v>
      </c>
      <c r="D9" s="4">
        <f ca="1">_xlfn.IFNA(OFFSET(UNDESA_Data!$G$1,MATCH(D$1&amp;"_"&amp;$A9,UNDESA_Data!$L:$L,0)-1,0),0)</f>
        <v>1191</v>
      </c>
      <c r="E9" s="4">
        <f ca="1">_xlfn.IFNA(OFFSET(UNDESA_Data!$G$1,MATCH(E$1&amp;"_"&amp;$A9,UNDESA_Data!$L:$L,0)-1,0),0)</f>
        <v>11261</v>
      </c>
      <c r="F9" s="4">
        <f ca="1">_xlfn.IFNA(OFFSET(UNDESA_Data!$G$1,MATCH(F$1&amp;"_"&amp;$A9,UNDESA_Data!$L:$L,0)-1,0),0)</f>
        <v>8857</v>
      </c>
      <c r="G9" s="4">
        <f ca="1">_xlfn.IFNA(OFFSET(UNDESA_Data!$G$1,MATCH(G$1&amp;"_"&amp;$A9,UNDESA_Data!$L:$L,0)-1,0),0)</f>
        <v>11964</v>
      </c>
      <c r="H9" s="4">
        <f ca="1">_xlfn.IFNA(OFFSET(UNDESA_Data!$G$1,MATCH(H$1&amp;"_"&amp;$A9,UNDESA_Data!$L:$L,0)-1,0),0)</f>
        <v>971</v>
      </c>
      <c r="I9" s="4">
        <f ca="1">_xlfn.IFNA(OFFSET(UNDESA_Data!$G$1,MATCH(I$1&amp;"_"&amp;$A9,UNDESA_Data!$L:$L,0)-1,0),0)</f>
        <v>0</v>
      </c>
      <c r="J9" s="4">
        <f ca="1">_xlfn.IFNA(OFFSET(UNDESA_Data!$G$1,MATCH(J$1&amp;"_"&amp;$A9,UNDESA_Data!$L:$L,0)-1,0),0)</f>
        <v>97</v>
      </c>
      <c r="K9" s="4">
        <f ca="1">_xlfn.IFNA(OFFSET(UNDESA_Data!$G$1,MATCH(K$1&amp;"_"&amp;$A9,UNDESA_Data!$L:$L,0)-1,0),0)</f>
        <v>105</v>
      </c>
      <c r="L9" s="4">
        <f ca="1">_xlfn.IFNA(OFFSET(UNDESA_Data!$G$1,MATCH(L$1&amp;"_"&amp;$A9,UNDESA_Data!$L:$L,0)-1,0),0)</f>
        <v>342</v>
      </c>
      <c r="M9" s="4">
        <f ca="1">_xlfn.IFNA(OFFSET(UNDESA_Data!$G$1,MATCH(M$1&amp;"_"&amp;$A9,UNDESA_Data!$L:$L,0)-1,0),0)</f>
        <v>1778</v>
      </c>
      <c r="N9" s="4">
        <f ca="1">_xlfn.IFNA(OFFSET(UNDESA_Data!$G$1,MATCH(N$1&amp;"_"&amp;$A9,UNDESA_Data!$L:$L,0)-1,0),0)</f>
        <v>86</v>
      </c>
      <c r="O9" s="4">
        <f ca="1">_xlfn.IFNA(OFFSET(UNDESA_Data!$G$1,MATCH(O$1&amp;"_"&amp;$A9,UNDESA_Data!$L:$L,0)-1,0),0)</f>
        <v>1896</v>
      </c>
      <c r="P9" s="4">
        <f ca="1">_xlfn.IFNA(OFFSET(UNDESA_Data!$G$1,MATCH(P$1&amp;"_"&amp;$A9,UNDESA_Data!$L:$L,0)-1,0),0)</f>
        <v>0</v>
      </c>
      <c r="Q9" s="4">
        <f ca="1">_xlfn.IFNA(OFFSET(UNDESA_Data!$G$1,MATCH(Q$1&amp;"_"&amp;$A9,UNDESA_Data!$L:$L,0)-1,0),0)</f>
        <v>2911</v>
      </c>
      <c r="R9" s="4">
        <f ca="1">_xlfn.IFNA(OFFSET(UNDESA_Data!$G$1,MATCH(R$1&amp;"_"&amp;$A9,UNDESA_Data!$L:$L,0)-1,0),0)</f>
        <v>306208</v>
      </c>
      <c r="S9" s="4">
        <f ca="1">_xlfn.IFNA(OFFSET(UNDESA_Data!$G$1,MATCH(S$1&amp;"_"&amp;$A9,UNDESA_Data!$L:$L,0)-1,0),0)</f>
        <v>0</v>
      </c>
      <c r="T9" s="4">
        <f ca="1">_xlfn.IFNA(OFFSET(UNDESA_Data!$G$1,MATCH(T$1&amp;"_"&amp;$A9,UNDESA_Data!$L:$L,0)-1,0),0)</f>
        <v>28999</v>
      </c>
    </row>
    <row r="10" spans="1:20" x14ac:dyDescent="0.3">
      <c r="A10" s="3" t="s">
        <v>8</v>
      </c>
      <c r="B10" s="4">
        <f ca="1">_xlfn.IFNA(OFFSET(UNDESA_Data!$G$1,MATCH(B$1&amp;"_"&amp;$A10,UNDESA_Data!$L:$L,0)-1,0),0)</f>
        <v>156</v>
      </c>
      <c r="C10" s="4">
        <f ca="1">_xlfn.IFNA(OFFSET(UNDESA_Data!$G$1,MATCH(C$1&amp;"_"&amp;$A10,UNDESA_Data!$L:$L,0)-1,0),0)</f>
        <v>107</v>
      </c>
      <c r="D10" s="4">
        <f ca="1">_xlfn.IFNA(OFFSET(UNDESA_Data!$G$1,MATCH(D$1&amp;"_"&amp;$A10,UNDESA_Data!$L:$L,0)-1,0),0)</f>
        <v>481</v>
      </c>
      <c r="E10" s="4">
        <f ca="1">_xlfn.IFNA(OFFSET(UNDESA_Data!$G$1,MATCH(E$1&amp;"_"&amp;$A10,UNDESA_Data!$L:$L,0)-1,0),0)</f>
        <v>38826</v>
      </c>
      <c r="F10" s="4">
        <f ca="1">_xlfn.IFNA(OFFSET(UNDESA_Data!$G$1,MATCH(F$1&amp;"_"&amp;$A10,UNDESA_Data!$L:$L,0)-1,0),0)</f>
        <v>0</v>
      </c>
      <c r="G10" s="4">
        <f ca="1">_xlfn.IFNA(OFFSET(UNDESA_Data!$G$1,MATCH(G$1&amp;"_"&amp;$A10,UNDESA_Data!$L:$L,0)-1,0),0)</f>
        <v>315</v>
      </c>
      <c r="H10" s="4">
        <f ca="1">_xlfn.IFNA(OFFSET(UNDESA_Data!$G$1,MATCH(H$1&amp;"_"&amp;$A10,UNDESA_Data!$L:$L,0)-1,0),0)</f>
        <v>8857</v>
      </c>
      <c r="I10" s="4">
        <f ca="1">_xlfn.IFNA(OFFSET(UNDESA_Data!$G$1,MATCH(I$1&amp;"_"&amp;$A10,UNDESA_Data!$L:$L,0)-1,0),0)</f>
        <v>217</v>
      </c>
      <c r="J10" s="4">
        <f ca="1">_xlfn.IFNA(OFFSET(UNDESA_Data!$G$1,MATCH(J$1&amp;"_"&amp;$A10,UNDESA_Data!$L:$L,0)-1,0),0)</f>
        <v>0</v>
      </c>
      <c r="K10" s="4">
        <f ca="1">_xlfn.IFNA(OFFSET(UNDESA_Data!$G$1,MATCH(K$1&amp;"_"&amp;$A10,UNDESA_Data!$L:$L,0)-1,0),0)</f>
        <v>12037</v>
      </c>
      <c r="L10" s="4">
        <f ca="1">_xlfn.IFNA(OFFSET(UNDESA_Data!$G$1,MATCH(L$1&amp;"_"&amp;$A10,UNDESA_Data!$L:$L,0)-1,0),0)</f>
        <v>6574</v>
      </c>
      <c r="M10" s="4">
        <f ca="1">_xlfn.IFNA(OFFSET(UNDESA_Data!$G$1,MATCH(M$1&amp;"_"&amp;$A10,UNDESA_Data!$L:$L,0)-1,0),0)</f>
        <v>5786</v>
      </c>
      <c r="N10" s="4">
        <f ca="1">_xlfn.IFNA(OFFSET(UNDESA_Data!$G$1,MATCH(N$1&amp;"_"&amp;$A10,UNDESA_Data!$L:$L,0)-1,0),0)</f>
        <v>2102</v>
      </c>
      <c r="O10" s="4">
        <f ca="1">_xlfn.IFNA(OFFSET(UNDESA_Data!$G$1,MATCH(O$1&amp;"_"&amp;$A10,UNDESA_Data!$L:$L,0)-1,0),0)</f>
        <v>2032</v>
      </c>
      <c r="P10" s="4">
        <f ca="1">_xlfn.IFNA(OFFSET(UNDESA_Data!$G$1,MATCH(P$1&amp;"_"&amp;$A10,UNDESA_Data!$L:$L,0)-1,0),0)</f>
        <v>0</v>
      </c>
      <c r="Q10" s="4">
        <f ca="1">_xlfn.IFNA(OFFSET(UNDESA_Data!$G$1,MATCH(Q$1&amp;"_"&amp;$A10,UNDESA_Data!$L:$L,0)-1,0),0)</f>
        <v>79</v>
      </c>
      <c r="R10" s="4">
        <f ca="1">_xlfn.IFNA(OFFSET(UNDESA_Data!$G$1,MATCH(R$1&amp;"_"&amp;$A10,UNDESA_Data!$L:$L,0)-1,0),0)</f>
        <v>838090</v>
      </c>
      <c r="S10" s="4">
        <f ca="1">_xlfn.IFNA(OFFSET(UNDESA_Data!$G$1,MATCH(S$1&amp;"_"&amp;$A10,UNDESA_Data!$L:$L,0)-1,0),0)</f>
        <v>0</v>
      </c>
      <c r="T10" s="4">
        <f ca="1">_xlfn.IFNA(OFFSET(UNDESA_Data!$G$1,MATCH(T$1&amp;"_"&amp;$A10,UNDESA_Data!$L:$L,0)-1,0),0)</f>
        <v>908</v>
      </c>
    </row>
    <row r="11" spans="1:20" x14ac:dyDescent="0.3">
      <c r="A11" s="3" t="s">
        <v>9</v>
      </c>
      <c r="B11" s="4">
        <f ca="1">_xlfn.IFNA(OFFSET(UNDESA_Data!$G$1,MATCH(B$1&amp;"_"&amp;$A11,UNDESA_Data!$L:$L,0)-1,0),0)</f>
        <v>201</v>
      </c>
      <c r="C11" s="4">
        <f ca="1">_xlfn.IFNA(OFFSET(UNDESA_Data!$G$1,MATCH(C$1&amp;"_"&amp;$A11,UNDESA_Data!$L:$L,0)-1,0),0)</f>
        <v>141</v>
      </c>
      <c r="D11" s="4">
        <f ca="1">_xlfn.IFNA(OFFSET(UNDESA_Data!$G$1,MATCH(D$1&amp;"_"&amp;$A11,UNDESA_Data!$L:$L,0)-1,0),0)</f>
        <v>158</v>
      </c>
      <c r="E11" s="4">
        <f ca="1">_xlfn.IFNA(OFFSET(UNDESA_Data!$G$1,MATCH(E$1&amp;"_"&amp;$A11,UNDESA_Data!$L:$L,0)-1,0),0)</f>
        <v>13960</v>
      </c>
      <c r="F11" s="4">
        <f ca="1">_xlfn.IFNA(OFFSET(UNDESA_Data!$G$1,MATCH(F$1&amp;"_"&amp;$A11,UNDESA_Data!$L:$L,0)-1,0),0)</f>
        <v>0</v>
      </c>
      <c r="G11" s="4">
        <f ca="1">_xlfn.IFNA(OFFSET(UNDESA_Data!$G$1,MATCH(G$1&amp;"_"&amp;$A11,UNDESA_Data!$L:$L,0)-1,0),0)</f>
        <v>346</v>
      </c>
      <c r="H11" s="4">
        <f ca="1">_xlfn.IFNA(OFFSET(UNDESA_Data!$G$1,MATCH(H$1&amp;"_"&amp;$A11,UNDESA_Data!$L:$L,0)-1,0),0)</f>
        <v>2029</v>
      </c>
      <c r="I11" s="4">
        <f ca="1">_xlfn.IFNA(OFFSET(UNDESA_Data!$G$1,MATCH(I$1&amp;"_"&amp;$A11,UNDESA_Data!$L:$L,0)-1,0),0)</f>
        <v>179</v>
      </c>
      <c r="J11" s="4">
        <f ca="1">_xlfn.IFNA(OFFSET(UNDESA_Data!$G$1,MATCH(J$1&amp;"_"&amp;$A11,UNDESA_Data!$L:$L,0)-1,0),0)</f>
        <v>6212</v>
      </c>
      <c r="K11" s="4">
        <f ca="1">_xlfn.IFNA(OFFSET(UNDESA_Data!$G$1,MATCH(K$1&amp;"_"&amp;$A11,UNDESA_Data!$L:$L,0)-1,0),0)</f>
        <v>0</v>
      </c>
      <c r="L11" s="4">
        <f ca="1">_xlfn.IFNA(OFFSET(UNDESA_Data!$G$1,MATCH(L$1&amp;"_"&amp;$A11,UNDESA_Data!$L:$L,0)-1,0),0)</f>
        <v>3421</v>
      </c>
      <c r="M11" s="4">
        <f ca="1">_xlfn.IFNA(OFFSET(UNDESA_Data!$G$1,MATCH(M$1&amp;"_"&amp;$A11,UNDESA_Data!$L:$L,0)-1,0),0)</f>
        <v>29156</v>
      </c>
      <c r="N11" s="4">
        <f ca="1">_xlfn.IFNA(OFFSET(UNDESA_Data!$G$1,MATCH(N$1&amp;"_"&amp;$A11,UNDESA_Data!$L:$L,0)-1,0),0)</f>
        <v>1199</v>
      </c>
      <c r="O11" s="4">
        <f ca="1">_xlfn.IFNA(OFFSET(UNDESA_Data!$G$1,MATCH(O$1&amp;"_"&amp;$A11,UNDESA_Data!$L:$L,0)-1,0),0)</f>
        <v>600</v>
      </c>
      <c r="P11" s="4">
        <f ca="1">_xlfn.IFNA(OFFSET(UNDESA_Data!$G$1,MATCH(P$1&amp;"_"&amp;$A11,UNDESA_Data!$L:$L,0)-1,0),0)</f>
        <v>0</v>
      </c>
      <c r="Q11" s="4">
        <f ca="1">_xlfn.IFNA(OFFSET(UNDESA_Data!$G$1,MATCH(Q$1&amp;"_"&amp;$A11,UNDESA_Data!$L:$L,0)-1,0),0)</f>
        <v>119</v>
      </c>
      <c r="R11" s="4">
        <f ca="1">_xlfn.IFNA(OFFSET(UNDESA_Data!$G$1,MATCH(R$1&amp;"_"&amp;$A11,UNDESA_Data!$L:$L,0)-1,0),0)</f>
        <v>492870</v>
      </c>
      <c r="S11" s="4">
        <f ca="1">_xlfn.IFNA(OFFSET(UNDESA_Data!$G$1,MATCH(S$1&amp;"_"&amp;$A11,UNDESA_Data!$L:$L,0)-1,0),0)</f>
        <v>0</v>
      </c>
      <c r="T11" s="4">
        <f ca="1">_xlfn.IFNA(OFFSET(UNDESA_Data!$G$1,MATCH(T$1&amp;"_"&amp;$A11,UNDESA_Data!$L:$L,0)-1,0),0)</f>
        <v>433</v>
      </c>
    </row>
    <row r="12" spans="1:20" x14ac:dyDescent="0.3">
      <c r="A12" s="3" t="s">
        <v>10</v>
      </c>
      <c r="B12" s="4">
        <f ca="1">_xlfn.IFNA(OFFSET(UNDESA_Data!$G$1,MATCH(B$1&amp;"_"&amp;$A12,UNDESA_Data!$L:$L,0)-1,0),0)</f>
        <v>139</v>
      </c>
      <c r="C12" s="4">
        <f ca="1">_xlfn.IFNA(OFFSET(UNDESA_Data!$G$1,MATCH(C$1&amp;"_"&amp;$A12,UNDESA_Data!$L:$L,0)-1,0),0)</f>
        <v>197</v>
      </c>
      <c r="D12" s="4">
        <f ca="1">_xlfn.IFNA(OFFSET(UNDESA_Data!$G$1,MATCH(D$1&amp;"_"&amp;$A12,UNDESA_Data!$L:$L,0)-1,0),0)</f>
        <v>136</v>
      </c>
      <c r="E12" s="4">
        <f ca="1">_xlfn.IFNA(OFFSET(UNDESA_Data!$G$1,MATCH(E$1&amp;"_"&amp;$A12,UNDESA_Data!$L:$L,0)-1,0),0)</f>
        <v>4462</v>
      </c>
      <c r="F12" s="4">
        <f ca="1">_xlfn.IFNA(OFFSET(UNDESA_Data!$G$1,MATCH(F$1&amp;"_"&amp;$A12,UNDESA_Data!$L:$L,0)-1,0),0)</f>
        <v>0</v>
      </c>
      <c r="G12" s="4">
        <f ca="1">_xlfn.IFNA(OFFSET(UNDESA_Data!$G$1,MATCH(G$1&amp;"_"&amp;$A12,UNDESA_Data!$L:$L,0)-1,0),0)</f>
        <v>286</v>
      </c>
      <c r="H12" s="4">
        <f ca="1">_xlfn.IFNA(OFFSET(UNDESA_Data!$G$1,MATCH(H$1&amp;"_"&amp;$A12,UNDESA_Data!$L:$L,0)-1,0),0)</f>
        <v>2994</v>
      </c>
      <c r="I12" s="4">
        <f ca="1">_xlfn.IFNA(OFFSET(UNDESA_Data!$G$1,MATCH(I$1&amp;"_"&amp;$A12,UNDESA_Data!$L:$L,0)-1,0),0)</f>
        <v>195</v>
      </c>
      <c r="J12" s="4">
        <f ca="1">_xlfn.IFNA(OFFSET(UNDESA_Data!$G$1,MATCH(J$1&amp;"_"&amp;$A12,UNDESA_Data!$L:$L,0)-1,0),0)</f>
        <v>9525</v>
      </c>
      <c r="K12" s="4">
        <f ca="1">_xlfn.IFNA(OFFSET(UNDESA_Data!$G$1,MATCH(K$1&amp;"_"&amp;$A12,UNDESA_Data!$L:$L,0)-1,0),0)</f>
        <v>5295</v>
      </c>
      <c r="L12" s="4">
        <f ca="1">_xlfn.IFNA(OFFSET(UNDESA_Data!$G$1,MATCH(L$1&amp;"_"&amp;$A12,UNDESA_Data!$L:$L,0)-1,0),0)</f>
        <v>0</v>
      </c>
      <c r="M12" s="4">
        <f ca="1">_xlfn.IFNA(OFFSET(UNDESA_Data!$G$1,MATCH(M$1&amp;"_"&amp;$A12,UNDESA_Data!$L:$L,0)-1,0),0)</f>
        <v>4203</v>
      </c>
      <c r="N12" s="4">
        <f ca="1">_xlfn.IFNA(OFFSET(UNDESA_Data!$G$1,MATCH(N$1&amp;"_"&amp;$A12,UNDESA_Data!$L:$L,0)-1,0),0)</f>
        <v>10017</v>
      </c>
      <c r="O12" s="4">
        <f ca="1">_xlfn.IFNA(OFFSET(UNDESA_Data!$G$1,MATCH(O$1&amp;"_"&amp;$A12,UNDESA_Data!$L:$L,0)-1,0),0)</f>
        <v>838</v>
      </c>
      <c r="P12" s="4">
        <f ca="1">_xlfn.IFNA(OFFSET(UNDESA_Data!$G$1,MATCH(P$1&amp;"_"&amp;$A12,UNDESA_Data!$L:$L,0)-1,0),0)</f>
        <v>0</v>
      </c>
      <c r="Q12" s="4">
        <f ca="1">_xlfn.IFNA(OFFSET(UNDESA_Data!$G$1,MATCH(Q$1&amp;"_"&amp;$A12,UNDESA_Data!$L:$L,0)-1,0),0)</f>
        <v>121</v>
      </c>
      <c r="R12" s="4">
        <f ca="1">_xlfn.IFNA(OFFSET(UNDESA_Data!$G$1,MATCH(R$1&amp;"_"&amp;$A12,UNDESA_Data!$L:$L,0)-1,0),0)</f>
        <v>290034</v>
      </c>
      <c r="S12" s="4">
        <f ca="1">_xlfn.IFNA(OFFSET(UNDESA_Data!$G$1,MATCH(S$1&amp;"_"&amp;$A12,UNDESA_Data!$L:$L,0)-1,0),0)</f>
        <v>0</v>
      </c>
      <c r="T12" s="4">
        <f ca="1">_xlfn.IFNA(OFFSET(UNDESA_Data!$G$1,MATCH(T$1&amp;"_"&amp;$A12,UNDESA_Data!$L:$L,0)-1,0),0)</f>
        <v>309</v>
      </c>
    </row>
    <row r="13" spans="1:20" x14ac:dyDescent="0.3">
      <c r="A13" s="3" t="s">
        <v>11</v>
      </c>
      <c r="B13" s="4">
        <f ca="1">_xlfn.IFNA(OFFSET(UNDESA_Data!$G$1,MATCH(B$1&amp;"_"&amp;$A13,UNDESA_Data!$L:$L,0)-1,0),0)</f>
        <v>3040</v>
      </c>
      <c r="C13" s="4">
        <f ca="1">_xlfn.IFNA(OFFSET(UNDESA_Data!$G$1,MATCH(C$1&amp;"_"&amp;$A13,UNDESA_Data!$L:$L,0)-1,0),0)</f>
        <v>9323</v>
      </c>
      <c r="D13" s="4">
        <f ca="1">_xlfn.IFNA(OFFSET(UNDESA_Data!$G$1,MATCH(D$1&amp;"_"&amp;$A13,UNDESA_Data!$L:$L,0)-1,0),0)</f>
        <v>1261</v>
      </c>
      <c r="E13" s="4">
        <f ca="1">_xlfn.IFNA(OFFSET(UNDESA_Data!$G$1,MATCH(E$1&amp;"_"&amp;$A13,UNDESA_Data!$L:$L,0)-1,0),0)</f>
        <v>42332</v>
      </c>
      <c r="F13" s="4">
        <f ca="1">_xlfn.IFNA(OFFSET(UNDESA_Data!$G$1,MATCH(F$1&amp;"_"&amp;$A13,UNDESA_Data!$L:$L,0)-1,0),0)</f>
        <v>1700</v>
      </c>
      <c r="G13" s="4">
        <f ca="1">_xlfn.IFNA(OFFSET(UNDESA_Data!$G$1,MATCH(G$1&amp;"_"&amp;$A13,UNDESA_Data!$L:$L,0)-1,0),0)</f>
        <v>2236</v>
      </c>
      <c r="H13" s="4">
        <f ca="1">_xlfn.IFNA(OFFSET(UNDESA_Data!$G$1,MATCH(H$1&amp;"_"&amp;$A13,UNDESA_Data!$L:$L,0)-1,0),0)</f>
        <v>2365</v>
      </c>
      <c r="I13" s="4">
        <f ca="1">_xlfn.IFNA(OFFSET(UNDESA_Data!$G$1,MATCH(I$1&amp;"_"&amp;$A13,UNDESA_Data!$L:$L,0)-1,0),0)</f>
        <v>937</v>
      </c>
      <c r="J13" s="4">
        <f ca="1">_xlfn.IFNA(OFFSET(UNDESA_Data!$G$1,MATCH(J$1&amp;"_"&amp;$A13,UNDESA_Data!$L:$L,0)-1,0),0)</f>
        <v>1438</v>
      </c>
      <c r="K13" s="4">
        <f ca="1">_xlfn.IFNA(OFFSET(UNDESA_Data!$G$1,MATCH(K$1&amp;"_"&amp;$A13,UNDESA_Data!$L:$L,0)-1,0),0)</f>
        <v>11070</v>
      </c>
      <c r="L13" s="4">
        <f ca="1">_xlfn.IFNA(OFFSET(UNDESA_Data!$G$1,MATCH(L$1&amp;"_"&amp;$A13,UNDESA_Data!$L:$L,0)-1,0),0)</f>
        <v>1164</v>
      </c>
      <c r="M13" s="4">
        <f ca="1">_xlfn.IFNA(OFFSET(UNDESA_Data!$G$1,MATCH(M$1&amp;"_"&amp;$A13,UNDESA_Data!$L:$L,0)-1,0),0)</f>
        <v>0</v>
      </c>
      <c r="N13" s="4">
        <f ca="1">_xlfn.IFNA(OFFSET(UNDESA_Data!$G$1,MATCH(N$1&amp;"_"&amp;$A13,UNDESA_Data!$L:$L,0)-1,0),0)</f>
        <v>725</v>
      </c>
      <c r="O13" s="4">
        <f ca="1">_xlfn.IFNA(OFFSET(UNDESA_Data!$G$1,MATCH(O$1&amp;"_"&amp;$A13,UNDESA_Data!$L:$L,0)-1,0),0)</f>
        <v>2341</v>
      </c>
      <c r="P13" s="4">
        <f ca="1">_xlfn.IFNA(OFFSET(UNDESA_Data!$G$1,MATCH(P$1&amp;"_"&amp;$A13,UNDESA_Data!$L:$L,0)-1,0),0)</f>
        <v>1813</v>
      </c>
      <c r="Q13" s="4">
        <f ca="1">_xlfn.IFNA(OFFSET(UNDESA_Data!$G$1,MATCH(Q$1&amp;"_"&amp;$A13,UNDESA_Data!$L:$L,0)-1,0),0)</f>
        <v>1088</v>
      </c>
      <c r="R13" s="4">
        <f ca="1">_xlfn.IFNA(OFFSET(UNDESA_Data!$G$1,MATCH(R$1&amp;"_"&amp;$A13,UNDESA_Data!$L:$L,0)-1,0),0)</f>
        <v>9410529</v>
      </c>
      <c r="S13" s="4">
        <f ca="1">_xlfn.IFNA(OFFSET(UNDESA_Data!$G$1,MATCH(S$1&amp;"_"&amp;$A13,UNDESA_Data!$L:$L,0)-1,0),0)</f>
        <v>602</v>
      </c>
      <c r="T13" s="4">
        <f ca="1">_xlfn.IFNA(OFFSET(UNDESA_Data!$G$1,MATCH(T$1&amp;"_"&amp;$A13,UNDESA_Data!$L:$L,0)-1,0),0)</f>
        <v>3115</v>
      </c>
    </row>
    <row r="14" spans="1:20" x14ac:dyDescent="0.3">
      <c r="A14" s="3" t="s">
        <v>12</v>
      </c>
      <c r="B14" s="4">
        <f ca="1">_xlfn.IFNA(OFFSET(UNDESA_Data!$G$1,MATCH(B$1&amp;"_"&amp;$A14,UNDESA_Data!$L:$L,0)-1,0),0)</f>
        <v>190</v>
      </c>
      <c r="C14" s="4">
        <f ca="1">_xlfn.IFNA(OFFSET(UNDESA_Data!$G$1,MATCH(C$1&amp;"_"&amp;$A14,UNDESA_Data!$L:$L,0)-1,0),0)</f>
        <v>85</v>
      </c>
      <c r="D14" s="4">
        <f ca="1">_xlfn.IFNA(OFFSET(UNDESA_Data!$G$1,MATCH(D$1&amp;"_"&amp;$A14,UNDESA_Data!$L:$L,0)-1,0),0)</f>
        <v>501</v>
      </c>
      <c r="E14" s="4">
        <f ca="1">_xlfn.IFNA(OFFSET(UNDESA_Data!$G$1,MATCH(E$1&amp;"_"&amp;$A14,UNDESA_Data!$L:$L,0)-1,0),0)</f>
        <v>9444</v>
      </c>
      <c r="F14" s="4">
        <f ca="1">_xlfn.IFNA(OFFSET(UNDESA_Data!$G$1,MATCH(F$1&amp;"_"&amp;$A14,UNDESA_Data!$L:$L,0)-1,0),0)</f>
        <v>0</v>
      </c>
      <c r="G14" s="4">
        <f ca="1">_xlfn.IFNA(OFFSET(UNDESA_Data!$G$1,MATCH(G$1&amp;"_"&amp;$A14,UNDESA_Data!$L:$L,0)-1,0),0)</f>
        <v>0</v>
      </c>
      <c r="H14" s="4">
        <f ca="1">_xlfn.IFNA(OFFSET(UNDESA_Data!$G$1,MATCH(H$1&amp;"_"&amp;$A14,UNDESA_Data!$L:$L,0)-1,0),0)</f>
        <v>230085</v>
      </c>
      <c r="I14" s="4">
        <f ca="1">_xlfn.IFNA(OFFSET(UNDESA_Data!$G$1,MATCH(I$1&amp;"_"&amp;$A14,UNDESA_Data!$L:$L,0)-1,0),0)</f>
        <v>163</v>
      </c>
      <c r="J14" s="4">
        <f ca="1">_xlfn.IFNA(OFFSET(UNDESA_Data!$G$1,MATCH(J$1&amp;"_"&amp;$A14,UNDESA_Data!$L:$L,0)-1,0),0)</f>
        <v>4545</v>
      </c>
      <c r="K14" s="4">
        <f ca="1">_xlfn.IFNA(OFFSET(UNDESA_Data!$G$1,MATCH(K$1&amp;"_"&amp;$A14,UNDESA_Data!$L:$L,0)-1,0),0)</f>
        <v>5404</v>
      </c>
      <c r="L14" s="4">
        <f ca="1">_xlfn.IFNA(OFFSET(UNDESA_Data!$G$1,MATCH(L$1&amp;"_"&amp;$A14,UNDESA_Data!$L:$L,0)-1,0),0)</f>
        <v>5768</v>
      </c>
      <c r="M14" s="4">
        <f ca="1">_xlfn.IFNA(OFFSET(UNDESA_Data!$G$1,MATCH(M$1&amp;"_"&amp;$A14,UNDESA_Data!$L:$L,0)-1,0),0)</f>
        <v>3696</v>
      </c>
      <c r="N14" s="4">
        <f ca="1">_xlfn.IFNA(OFFSET(UNDESA_Data!$G$1,MATCH(N$1&amp;"_"&amp;$A14,UNDESA_Data!$L:$L,0)-1,0),0)</f>
        <v>0</v>
      </c>
      <c r="O14" s="4">
        <f ca="1">_xlfn.IFNA(OFFSET(UNDESA_Data!$G$1,MATCH(O$1&amp;"_"&amp;$A14,UNDESA_Data!$L:$L,0)-1,0),0)</f>
        <v>4923</v>
      </c>
      <c r="P14" s="4">
        <f ca="1">_xlfn.IFNA(OFFSET(UNDESA_Data!$G$1,MATCH(P$1&amp;"_"&amp;$A14,UNDESA_Data!$L:$L,0)-1,0),0)</f>
        <v>0</v>
      </c>
      <c r="Q14" s="4">
        <f ca="1">_xlfn.IFNA(OFFSET(UNDESA_Data!$G$1,MATCH(Q$1&amp;"_"&amp;$A14,UNDESA_Data!$L:$L,0)-1,0),0)</f>
        <v>117</v>
      </c>
      <c r="R14" s="4">
        <f ca="1">_xlfn.IFNA(OFFSET(UNDESA_Data!$G$1,MATCH(R$1&amp;"_"&amp;$A14,UNDESA_Data!$L:$L,0)-1,0),0)</f>
        <v>225929</v>
      </c>
      <c r="S14" s="4">
        <f ca="1">_xlfn.IFNA(OFFSET(UNDESA_Data!$G$1,MATCH(S$1&amp;"_"&amp;$A14,UNDESA_Data!$L:$L,0)-1,0),0)</f>
        <v>0</v>
      </c>
      <c r="T14" s="4">
        <f ca="1">_xlfn.IFNA(OFFSET(UNDESA_Data!$G$1,MATCH(T$1&amp;"_"&amp;$A14,UNDESA_Data!$L:$L,0)-1,0),0)</f>
        <v>1934</v>
      </c>
    </row>
    <row r="15" spans="1:20" x14ac:dyDescent="0.3">
      <c r="A15" s="3" t="s">
        <v>13</v>
      </c>
      <c r="B15" s="4">
        <f ca="1">_xlfn.IFNA(OFFSET(UNDESA_Data!$G$1,MATCH(B$1&amp;"_"&amp;$A15,UNDESA_Data!$L:$L,0)-1,0),0)</f>
        <v>338</v>
      </c>
      <c r="C15" s="4">
        <f ca="1">_xlfn.IFNA(OFFSET(UNDESA_Data!$G$1,MATCH(C$1&amp;"_"&amp;$A15,UNDESA_Data!$L:$L,0)-1,0),0)</f>
        <v>97</v>
      </c>
      <c r="D15" s="4">
        <f ca="1">_xlfn.IFNA(OFFSET(UNDESA_Data!$G$1,MATCH(D$1&amp;"_"&amp;$A15,UNDESA_Data!$L:$L,0)-1,0),0)</f>
        <v>559</v>
      </c>
      <c r="E15" s="4">
        <f ca="1">_xlfn.IFNA(OFFSET(UNDESA_Data!$G$1,MATCH(E$1&amp;"_"&amp;$A15,UNDESA_Data!$L:$L,0)-1,0),0)</f>
        <v>2495</v>
      </c>
      <c r="F15" s="4">
        <f ca="1">_xlfn.IFNA(OFFSET(UNDESA_Data!$G$1,MATCH(F$1&amp;"_"&amp;$A15,UNDESA_Data!$L:$L,0)-1,0),0)</f>
        <v>0</v>
      </c>
      <c r="G15" s="4">
        <f ca="1">_xlfn.IFNA(OFFSET(UNDESA_Data!$G$1,MATCH(G$1&amp;"_"&amp;$A15,UNDESA_Data!$L:$L,0)-1,0),0)</f>
        <v>1858</v>
      </c>
      <c r="H15" s="4">
        <f ca="1">_xlfn.IFNA(OFFSET(UNDESA_Data!$G$1,MATCH(H$1&amp;"_"&amp;$A15,UNDESA_Data!$L:$L,0)-1,0),0)</f>
        <v>10438</v>
      </c>
      <c r="I15" s="4">
        <f ca="1">_xlfn.IFNA(OFFSET(UNDESA_Data!$G$1,MATCH(I$1&amp;"_"&amp;$A15,UNDESA_Data!$L:$L,0)-1,0),0)</f>
        <v>400</v>
      </c>
      <c r="J15" s="4">
        <f ca="1">_xlfn.IFNA(OFFSET(UNDESA_Data!$G$1,MATCH(J$1&amp;"_"&amp;$A15,UNDESA_Data!$L:$L,0)-1,0),0)</f>
        <v>354</v>
      </c>
      <c r="K15" s="4">
        <f ca="1">_xlfn.IFNA(OFFSET(UNDESA_Data!$G$1,MATCH(K$1&amp;"_"&amp;$A15,UNDESA_Data!$L:$L,0)-1,0),0)</f>
        <v>190</v>
      </c>
      <c r="L15" s="4">
        <f ca="1">_xlfn.IFNA(OFFSET(UNDESA_Data!$G$1,MATCH(L$1&amp;"_"&amp;$A15,UNDESA_Data!$L:$L,0)-1,0),0)</f>
        <v>296</v>
      </c>
      <c r="M15" s="4">
        <f ca="1">_xlfn.IFNA(OFFSET(UNDESA_Data!$G$1,MATCH(M$1&amp;"_"&amp;$A15,UNDESA_Data!$L:$L,0)-1,0),0)</f>
        <v>2396</v>
      </c>
      <c r="N15" s="4">
        <f ca="1">_xlfn.IFNA(OFFSET(UNDESA_Data!$G$1,MATCH(N$1&amp;"_"&amp;$A15,UNDESA_Data!$L:$L,0)-1,0),0)</f>
        <v>347</v>
      </c>
      <c r="O15" s="4">
        <f ca="1">_xlfn.IFNA(OFFSET(UNDESA_Data!$G$1,MATCH(O$1&amp;"_"&amp;$A15,UNDESA_Data!$L:$L,0)-1,0),0)</f>
        <v>0</v>
      </c>
      <c r="P15" s="4">
        <f ca="1">_xlfn.IFNA(OFFSET(UNDESA_Data!$G$1,MATCH(P$1&amp;"_"&amp;$A15,UNDESA_Data!$L:$L,0)-1,0),0)</f>
        <v>0</v>
      </c>
      <c r="Q15" s="4">
        <f ca="1">_xlfn.IFNA(OFFSET(UNDESA_Data!$G$1,MATCH(Q$1&amp;"_"&amp;$A15,UNDESA_Data!$L:$L,0)-1,0),0)</f>
        <v>252</v>
      </c>
      <c r="R15" s="4">
        <f ca="1">_xlfn.IFNA(OFFSET(UNDESA_Data!$G$1,MATCH(R$1&amp;"_"&amp;$A15,UNDESA_Data!$L:$L,0)-1,0),0)</f>
        <v>107847</v>
      </c>
      <c r="S15" s="4">
        <f ca="1">_xlfn.IFNA(OFFSET(UNDESA_Data!$G$1,MATCH(S$1&amp;"_"&amp;$A15,UNDESA_Data!$L:$L,0)-1,0),0)</f>
        <v>0</v>
      </c>
      <c r="T15" s="4">
        <f ca="1">_xlfn.IFNA(OFFSET(UNDESA_Data!$G$1,MATCH(T$1&amp;"_"&amp;$A15,UNDESA_Data!$L:$L,0)-1,0),0)</f>
        <v>976</v>
      </c>
    </row>
    <row r="16" spans="1:20" x14ac:dyDescent="0.3">
      <c r="A16" s="3" t="s">
        <v>14</v>
      </c>
      <c r="B16" s="4">
        <f ca="1">_xlfn.IFNA(OFFSET(UNDESA_Data!$G$1,MATCH(B$1&amp;"_"&amp;$A16,UNDESA_Data!$L:$L,0)-1,0),0)</f>
        <v>315086</v>
      </c>
      <c r="C16" s="4">
        <f ca="1">_xlfn.IFNA(OFFSET(UNDESA_Data!$G$1,MATCH(C$1&amp;"_"&amp;$A16,UNDESA_Data!$L:$L,0)-1,0),0)</f>
        <v>3236</v>
      </c>
      <c r="D16" s="4">
        <f ca="1">_xlfn.IFNA(OFFSET(UNDESA_Data!$G$1,MATCH(D$1&amp;"_"&amp;$A16,UNDESA_Data!$L:$L,0)-1,0),0)</f>
        <v>28891</v>
      </c>
      <c r="E16" s="4">
        <f ca="1">_xlfn.IFNA(OFFSET(UNDESA_Data!$G$1,MATCH(E$1&amp;"_"&amp;$A16,UNDESA_Data!$L:$L,0)-1,0),0)</f>
        <v>4972</v>
      </c>
      <c r="F16" s="4">
        <f ca="1">_xlfn.IFNA(OFFSET(UNDESA_Data!$G$1,MATCH(F$1&amp;"_"&amp;$A16,UNDESA_Data!$L:$L,0)-1,0),0)</f>
        <v>1198</v>
      </c>
      <c r="G16" s="4">
        <f ca="1">_xlfn.IFNA(OFFSET(UNDESA_Data!$G$1,MATCH(G$1&amp;"_"&amp;$A16,UNDESA_Data!$L:$L,0)-1,0),0)</f>
        <v>0</v>
      </c>
      <c r="H16" s="4">
        <f ca="1">_xlfn.IFNA(OFFSET(UNDESA_Data!$G$1,MATCH(H$1&amp;"_"&amp;$A16,UNDESA_Data!$L:$L,0)-1,0),0)</f>
        <v>63</v>
      </c>
      <c r="I16" s="4">
        <f ca="1">_xlfn.IFNA(OFFSET(UNDESA_Data!$G$1,MATCH(I$1&amp;"_"&amp;$A16,UNDESA_Data!$L:$L,0)-1,0),0)</f>
        <v>101</v>
      </c>
      <c r="J16" s="4">
        <f ca="1">_xlfn.IFNA(OFFSET(UNDESA_Data!$G$1,MATCH(J$1&amp;"_"&amp;$A16,UNDESA_Data!$L:$L,0)-1,0),0)</f>
        <v>15</v>
      </c>
      <c r="K16" s="4">
        <f ca="1">_xlfn.IFNA(OFFSET(UNDESA_Data!$G$1,MATCH(K$1&amp;"_"&amp;$A16,UNDESA_Data!$L:$L,0)-1,0),0)</f>
        <v>38</v>
      </c>
      <c r="L16" s="4">
        <f ca="1">_xlfn.IFNA(OFFSET(UNDESA_Data!$G$1,MATCH(L$1&amp;"_"&amp;$A16,UNDESA_Data!$L:$L,0)-1,0),0)</f>
        <v>26</v>
      </c>
      <c r="M16" s="4">
        <f ca="1">_xlfn.IFNA(OFFSET(UNDESA_Data!$G$1,MATCH(M$1&amp;"_"&amp;$A16,UNDESA_Data!$L:$L,0)-1,0),0)</f>
        <v>329</v>
      </c>
      <c r="N16" s="4">
        <f ca="1">_xlfn.IFNA(OFFSET(UNDESA_Data!$G$1,MATCH(N$1&amp;"_"&amp;$A16,UNDESA_Data!$L:$L,0)-1,0),0)</f>
        <v>0</v>
      </c>
      <c r="O16" s="4">
        <f ca="1">_xlfn.IFNA(OFFSET(UNDESA_Data!$G$1,MATCH(O$1&amp;"_"&amp;$A16,UNDESA_Data!$L:$L,0)-1,0),0)</f>
        <v>35</v>
      </c>
      <c r="P16" s="4">
        <f ca="1">_xlfn.IFNA(OFFSET(UNDESA_Data!$G$1,MATCH(P$1&amp;"_"&amp;$A16,UNDESA_Data!$L:$L,0)-1,0),0)</f>
        <v>0</v>
      </c>
      <c r="Q16" s="4">
        <f ca="1">_xlfn.IFNA(OFFSET(UNDESA_Data!$G$1,MATCH(Q$1&amp;"_"&amp;$A16,UNDESA_Data!$L:$L,0)-1,0),0)</f>
        <v>398</v>
      </c>
      <c r="R16" s="4">
        <f ca="1">_xlfn.IFNA(OFFSET(UNDESA_Data!$G$1,MATCH(R$1&amp;"_"&amp;$A16,UNDESA_Data!$L:$L,0)-1,0),0)</f>
        <v>12284</v>
      </c>
      <c r="S16" s="4">
        <f ca="1">_xlfn.IFNA(OFFSET(UNDESA_Data!$G$1,MATCH(S$1&amp;"_"&amp;$A16,UNDESA_Data!$L:$L,0)-1,0),0)</f>
        <v>1160</v>
      </c>
      <c r="T16" s="4">
        <f ca="1">_xlfn.IFNA(OFFSET(UNDESA_Data!$G$1,MATCH(T$1&amp;"_"&amp;$A16,UNDESA_Data!$L:$L,0)-1,0),0)</f>
        <v>239</v>
      </c>
    </row>
    <row r="17" spans="1:20" x14ac:dyDescent="0.3">
      <c r="A17" s="3" t="s">
        <v>15</v>
      </c>
      <c r="B17" s="4">
        <f ca="1">_xlfn.IFNA(OFFSET(UNDESA_Data!$G$1,MATCH(B$1&amp;"_"&amp;$A17,UNDESA_Data!$L:$L,0)-1,0),0)</f>
        <v>85411</v>
      </c>
      <c r="C17" s="4">
        <f ca="1">_xlfn.IFNA(OFFSET(UNDESA_Data!$G$1,MATCH(C$1&amp;"_"&amp;$A17,UNDESA_Data!$L:$L,0)-1,0),0)</f>
        <v>9386</v>
      </c>
      <c r="D17" s="4">
        <f ca="1">_xlfn.IFNA(OFFSET(UNDESA_Data!$G$1,MATCH(D$1&amp;"_"&amp;$A17,UNDESA_Data!$L:$L,0)-1,0),0)</f>
        <v>10840</v>
      </c>
      <c r="E17" s="4">
        <f ca="1">_xlfn.IFNA(OFFSET(UNDESA_Data!$G$1,MATCH(E$1&amp;"_"&amp;$A17,UNDESA_Data!$L:$L,0)-1,0),0)</f>
        <v>17932</v>
      </c>
      <c r="F17" s="4">
        <f ca="1">_xlfn.IFNA(OFFSET(UNDESA_Data!$G$1,MATCH(F$1&amp;"_"&amp;$A17,UNDESA_Data!$L:$L,0)-1,0),0)</f>
        <v>35460</v>
      </c>
      <c r="G17" s="4">
        <f ca="1">_xlfn.IFNA(OFFSET(UNDESA_Data!$G$1,MATCH(G$1&amp;"_"&amp;$A17,UNDESA_Data!$L:$L,0)-1,0),0)</f>
        <v>3788</v>
      </c>
      <c r="H17" s="4">
        <f ca="1">_xlfn.IFNA(OFFSET(UNDESA_Data!$G$1,MATCH(H$1&amp;"_"&amp;$A17,UNDESA_Data!$L:$L,0)-1,0),0)</f>
        <v>2887</v>
      </c>
      <c r="I17" s="4">
        <f ca="1">_xlfn.IFNA(OFFSET(UNDESA_Data!$G$1,MATCH(I$1&amp;"_"&amp;$A17,UNDESA_Data!$L:$L,0)-1,0),0)</f>
        <v>5682</v>
      </c>
      <c r="J17" s="4">
        <f ca="1">_xlfn.IFNA(OFFSET(UNDESA_Data!$G$1,MATCH(J$1&amp;"_"&amp;$A17,UNDESA_Data!$L:$L,0)-1,0),0)</f>
        <v>172</v>
      </c>
      <c r="K17" s="4">
        <f ca="1">_xlfn.IFNA(OFFSET(UNDESA_Data!$G$1,MATCH(K$1&amp;"_"&amp;$A17,UNDESA_Data!$L:$L,0)-1,0),0)</f>
        <v>288</v>
      </c>
      <c r="L17" s="4">
        <f ca="1">_xlfn.IFNA(OFFSET(UNDESA_Data!$G$1,MATCH(L$1&amp;"_"&amp;$A17,UNDESA_Data!$L:$L,0)-1,0),0)</f>
        <v>285</v>
      </c>
      <c r="M17" s="4">
        <f ca="1">_xlfn.IFNA(OFFSET(UNDESA_Data!$G$1,MATCH(M$1&amp;"_"&amp;$A17,UNDESA_Data!$L:$L,0)-1,0),0)</f>
        <v>5479</v>
      </c>
      <c r="N17" s="4">
        <f ca="1">_xlfn.IFNA(OFFSET(UNDESA_Data!$G$1,MATCH(N$1&amp;"_"&amp;$A17,UNDESA_Data!$L:$L,0)-1,0),0)</f>
        <v>185</v>
      </c>
      <c r="O17" s="4">
        <f ca="1">_xlfn.IFNA(OFFSET(UNDESA_Data!$G$1,MATCH(O$1&amp;"_"&amp;$A17,UNDESA_Data!$L:$L,0)-1,0),0)</f>
        <v>2697</v>
      </c>
      <c r="P17" s="4">
        <f ca="1">_xlfn.IFNA(OFFSET(UNDESA_Data!$G$1,MATCH(P$1&amp;"_"&amp;$A17,UNDESA_Data!$L:$L,0)-1,0),0)</f>
        <v>0</v>
      </c>
      <c r="Q17" s="4">
        <f ca="1">_xlfn.IFNA(OFFSET(UNDESA_Data!$G$1,MATCH(Q$1&amp;"_"&amp;$A17,UNDESA_Data!$L:$L,0)-1,0),0)</f>
        <v>0</v>
      </c>
      <c r="R17" s="4">
        <f ca="1">_xlfn.IFNA(OFFSET(UNDESA_Data!$G$1,MATCH(R$1&amp;"_"&amp;$A17,UNDESA_Data!$L:$L,0)-1,0),0)</f>
        <v>285249</v>
      </c>
      <c r="S17" s="4">
        <f ca="1">_xlfn.IFNA(OFFSET(UNDESA_Data!$G$1,MATCH(S$1&amp;"_"&amp;$A17,UNDESA_Data!$L:$L,0)-1,0),0)</f>
        <v>104</v>
      </c>
      <c r="T17" s="4">
        <f ca="1">_xlfn.IFNA(OFFSET(UNDESA_Data!$G$1,MATCH(T$1&amp;"_"&amp;$A17,UNDESA_Data!$L:$L,0)-1,0),0)</f>
        <v>36348</v>
      </c>
    </row>
    <row r="18" spans="1:20" x14ac:dyDescent="0.3">
      <c r="A18" s="3" t="s">
        <v>16</v>
      </c>
      <c r="B18" s="4">
        <f ca="1">_xlfn.IFNA(OFFSET(UNDESA_Data!$G$1,MATCH(B$1&amp;"_"&amp;$A18,UNDESA_Data!$L:$L,0)-1,0),0)</f>
        <v>9364</v>
      </c>
      <c r="C18" s="4">
        <f ca="1">_xlfn.IFNA(OFFSET(UNDESA_Data!$G$1,MATCH(C$1&amp;"_"&amp;$A18,UNDESA_Data!$L:$L,0)-1,0),0)</f>
        <v>3656</v>
      </c>
      <c r="D18" s="4">
        <f ca="1">_xlfn.IFNA(OFFSET(UNDESA_Data!$G$1,MATCH(D$1&amp;"_"&amp;$A18,UNDESA_Data!$L:$L,0)-1,0),0)</f>
        <v>13981</v>
      </c>
      <c r="E18" s="4">
        <f ca="1">_xlfn.IFNA(OFFSET(UNDESA_Data!$G$1,MATCH(E$1&amp;"_"&amp;$A18,UNDESA_Data!$L:$L,0)-1,0),0)</f>
        <v>255952</v>
      </c>
      <c r="F18" s="4">
        <f ca="1">_xlfn.IFNA(OFFSET(UNDESA_Data!$G$1,MATCH(F$1&amp;"_"&amp;$A18,UNDESA_Data!$L:$L,0)-1,0),0)</f>
        <v>7884</v>
      </c>
      <c r="G18" s="4">
        <f ca="1">_xlfn.IFNA(OFFSET(UNDESA_Data!$G$1,MATCH(G$1&amp;"_"&amp;$A18,UNDESA_Data!$L:$L,0)-1,0),0)</f>
        <v>15068</v>
      </c>
      <c r="H18" s="4">
        <f ca="1">_xlfn.IFNA(OFFSET(UNDESA_Data!$G$1,MATCH(H$1&amp;"_"&amp;$A18,UNDESA_Data!$L:$L,0)-1,0),0)</f>
        <v>9667</v>
      </c>
      <c r="I18" s="4">
        <f ca="1">_xlfn.IFNA(OFFSET(UNDESA_Data!$G$1,MATCH(I$1&amp;"_"&amp;$A18,UNDESA_Data!$L:$L,0)-1,0),0)</f>
        <v>11112</v>
      </c>
      <c r="J18" s="4">
        <f ca="1">_xlfn.IFNA(OFFSET(UNDESA_Data!$G$1,MATCH(J$1&amp;"_"&amp;$A18,UNDESA_Data!$L:$L,0)-1,0),0)</f>
        <v>4603</v>
      </c>
      <c r="K18" s="4">
        <f ca="1">_xlfn.IFNA(OFFSET(UNDESA_Data!$G$1,MATCH(K$1&amp;"_"&amp;$A18,UNDESA_Data!$L:$L,0)-1,0),0)</f>
        <v>5456</v>
      </c>
      <c r="L18" s="4">
        <f ca="1">_xlfn.IFNA(OFFSET(UNDESA_Data!$G$1,MATCH(L$1&amp;"_"&amp;$A18,UNDESA_Data!$L:$L,0)-1,0),0)</f>
        <v>5061</v>
      </c>
      <c r="M18" s="4">
        <f ca="1">_xlfn.IFNA(OFFSET(UNDESA_Data!$G$1,MATCH(M$1&amp;"_"&amp;$A18,UNDESA_Data!$L:$L,0)-1,0),0)</f>
        <v>358399</v>
      </c>
      <c r="N18" s="4">
        <f ca="1">_xlfn.IFNA(OFFSET(UNDESA_Data!$G$1,MATCH(N$1&amp;"_"&amp;$A18,UNDESA_Data!$L:$L,0)-1,0),0)</f>
        <v>3006</v>
      </c>
      <c r="O18" s="4">
        <f ca="1">_xlfn.IFNA(OFFSET(UNDESA_Data!$G$1,MATCH(O$1&amp;"_"&amp;$A18,UNDESA_Data!$L:$L,0)-1,0),0)</f>
        <v>5212</v>
      </c>
      <c r="P18" s="4">
        <f ca="1">_xlfn.IFNA(OFFSET(UNDESA_Data!$G$1,MATCH(P$1&amp;"_"&amp;$A18,UNDESA_Data!$L:$L,0)-1,0),0)</f>
        <v>1781</v>
      </c>
      <c r="Q18" s="4">
        <f ca="1">_xlfn.IFNA(OFFSET(UNDESA_Data!$G$1,MATCH(Q$1&amp;"_"&amp;$A18,UNDESA_Data!$L:$L,0)-1,0),0)</f>
        <v>7188</v>
      </c>
      <c r="R18" s="4">
        <f ca="1">_xlfn.IFNA(OFFSET(UNDESA_Data!$G$1,MATCH(R$1&amp;"_"&amp;$A18,UNDESA_Data!$L:$L,0)-1,0),0)</f>
        <v>0</v>
      </c>
      <c r="S18" s="4">
        <f ca="1">_xlfn.IFNA(OFFSET(UNDESA_Data!$G$1,MATCH(S$1&amp;"_"&amp;$A18,UNDESA_Data!$L:$L,0)-1,0),0)</f>
        <v>705</v>
      </c>
      <c r="T18" s="4">
        <f ca="1">_xlfn.IFNA(OFFSET(UNDESA_Data!$G$1,MATCH(T$1&amp;"_"&amp;$A18,UNDESA_Data!$L:$L,0)-1,0),0)</f>
        <v>10159</v>
      </c>
    </row>
    <row r="19" spans="1:20" x14ac:dyDescent="0.3">
      <c r="A19" s="3" t="s">
        <v>17</v>
      </c>
      <c r="B19" s="4">
        <f ca="1">_xlfn.IFNA(OFFSET(UNDESA_Data!$G$1,MATCH(B$1&amp;"_"&amp;$A19,UNDESA_Data!$L:$L,0)-1,0),0)</f>
        <v>113827</v>
      </c>
      <c r="C19" s="4">
        <f ca="1">_xlfn.IFNA(OFFSET(UNDESA_Data!$G$1,MATCH(C$1&amp;"_"&amp;$A19,UNDESA_Data!$L:$L,0)-1,0),0)</f>
        <v>453</v>
      </c>
      <c r="D19" s="4">
        <f ca="1">_xlfn.IFNA(OFFSET(UNDESA_Data!$G$1,MATCH(D$1&amp;"_"&amp;$A19,UNDESA_Data!$L:$L,0)-1,0),0)</f>
        <v>24799</v>
      </c>
      <c r="E19" s="4">
        <f ca="1">_xlfn.IFNA(OFFSET(UNDESA_Data!$G$1,MATCH(E$1&amp;"_"&amp;$A19,UNDESA_Data!$L:$L,0)-1,0),0)</f>
        <v>6240</v>
      </c>
      <c r="F19" s="4">
        <f ca="1">_xlfn.IFNA(OFFSET(UNDESA_Data!$G$1,MATCH(F$1&amp;"_"&amp;$A19,UNDESA_Data!$L:$L,0)-1,0),0)</f>
        <v>2238</v>
      </c>
      <c r="G19" s="4">
        <f ca="1">_xlfn.IFNA(OFFSET(UNDESA_Data!$G$1,MATCH(G$1&amp;"_"&amp;$A19,UNDESA_Data!$L:$L,0)-1,0),0)</f>
        <v>364</v>
      </c>
      <c r="H19" s="4">
        <f ca="1">_xlfn.IFNA(OFFSET(UNDESA_Data!$G$1,MATCH(H$1&amp;"_"&amp;$A19,UNDESA_Data!$L:$L,0)-1,0),0)</f>
        <v>239</v>
      </c>
      <c r="I19" s="4">
        <f ca="1">_xlfn.IFNA(OFFSET(UNDESA_Data!$G$1,MATCH(I$1&amp;"_"&amp;$A19,UNDESA_Data!$L:$L,0)-1,0),0)</f>
        <v>398</v>
      </c>
      <c r="J19" s="4">
        <f ca="1">_xlfn.IFNA(OFFSET(UNDESA_Data!$G$1,MATCH(J$1&amp;"_"&amp;$A19,UNDESA_Data!$L:$L,0)-1,0),0)</f>
        <v>67</v>
      </c>
      <c r="K19" s="4">
        <f ca="1">_xlfn.IFNA(OFFSET(UNDESA_Data!$G$1,MATCH(K$1&amp;"_"&amp;$A19,UNDESA_Data!$L:$L,0)-1,0),0)</f>
        <v>89</v>
      </c>
      <c r="L19" s="4">
        <f ca="1">_xlfn.IFNA(OFFSET(UNDESA_Data!$G$1,MATCH(L$1&amp;"_"&amp;$A19,UNDESA_Data!$L:$L,0)-1,0),0)</f>
        <v>50</v>
      </c>
      <c r="M19" s="4">
        <f ca="1">_xlfn.IFNA(OFFSET(UNDESA_Data!$G$1,MATCH(M$1&amp;"_"&amp;$A19,UNDESA_Data!$L:$L,0)-1,0),0)</f>
        <v>1966</v>
      </c>
      <c r="N19" s="4">
        <f ca="1">_xlfn.IFNA(OFFSET(UNDESA_Data!$G$1,MATCH(N$1&amp;"_"&amp;$A19,UNDESA_Data!$L:$L,0)-1,0),0)</f>
        <v>21</v>
      </c>
      <c r="O19" s="4">
        <f ca="1">_xlfn.IFNA(OFFSET(UNDESA_Data!$G$1,MATCH(O$1&amp;"_"&amp;$A19,UNDESA_Data!$L:$L,0)-1,0),0)</f>
        <v>264</v>
      </c>
      <c r="P19" s="4">
        <f ca="1">_xlfn.IFNA(OFFSET(UNDESA_Data!$G$1,MATCH(P$1&amp;"_"&amp;$A19,UNDESA_Data!$L:$L,0)-1,0),0)</f>
        <v>3303</v>
      </c>
      <c r="Q19" s="4">
        <f ca="1">_xlfn.IFNA(OFFSET(UNDESA_Data!$G$1,MATCH(Q$1&amp;"_"&amp;$A19,UNDESA_Data!$L:$L,0)-1,0),0)</f>
        <v>447</v>
      </c>
      <c r="R19" s="4">
        <f ca="1">_xlfn.IFNA(OFFSET(UNDESA_Data!$G$1,MATCH(R$1&amp;"_"&amp;$A19,UNDESA_Data!$L:$L,0)-1,0),0)</f>
        <v>25673</v>
      </c>
      <c r="S19" s="4">
        <f ca="1">_xlfn.IFNA(OFFSET(UNDESA_Data!$G$1,MATCH(S$1&amp;"_"&amp;$A19,UNDESA_Data!$L:$L,0)-1,0),0)</f>
        <v>0</v>
      </c>
      <c r="T19" s="4">
        <f ca="1">_xlfn.IFNA(OFFSET(UNDESA_Data!$G$1,MATCH(T$1&amp;"_"&amp;$A19,UNDESA_Data!$L:$L,0)-1,0),0)</f>
        <v>4692</v>
      </c>
    </row>
    <row r="20" spans="1:20" x14ac:dyDescent="0.3">
      <c r="A20" s="3" t="s">
        <v>18</v>
      </c>
      <c r="B20" s="4">
        <f ca="1">_xlfn.IFNA(OFFSET(UNDESA_Data!$G$1,MATCH(B$1&amp;"_"&amp;$A20,UNDESA_Data!$L:$L,0)-1,0),0)</f>
        <v>2600</v>
      </c>
      <c r="C20" s="4">
        <f ca="1">_xlfn.IFNA(OFFSET(UNDESA_Data!$G$1,MATCH(C$1&amp;"_"&amp;$A20,UNDESA_Data!$L:$L,0)-1,0),0)</f>
        <v>543</v>
      </c>
      <c r="D20" s="4">
        <f ca="1">_xlfn.IFNA(OFFSET(UNDESA_Data!$G$1,MATCH(D$1&amp;"_"&amp;$A20,UNDESA_Data!$L:$L,0)-1,0),0)</f>
        <v>2167</v>
      </c>
      <c r="E20" s="4">
        <f ca="1">_xlfn.IFNA(OFFSET(UNDESA_Data!$G$1,MATCH(E$1&amp;"_"&amp;$A20,UNDESA_Data!$L:$L,0)-1,0),0)</f>
        <v>7958</v>
      </c>
      <c r="F20" s="4">
        <f ca="1">_xlfn.IFNA(OFFSET(UNDESA_Data!$G$1,MATCH(F$1&amp;"_"&amp;$A20,UNDESA_Data!$L:$L,0)-1,0),0)</f>
        <v>4044</v>
      </c>
      <c r="G20" s="4">
        <f ca="1">_xlfn.IFNA(OFFSET(UNDESA_Data!$G$1,MATCH(G$1&amp;"_"&amp;$A20,UNDESA_Data!$L:$L,0)-1,0),0)</f>
        <v>37200</v>
      </c>
      <c r="H20" s="4">
        <f ca="1">_xlfn.IFNA(OFFSET(UNDESA_Data!$G$1,MATCH(H$1&amp;"_"&amp;$A20,UNDESA_Data!$L:$L,0)-1,0),0)</f>
        <v>1054</v>
      </c>
      <c r="I20" s="4">
        <f ca="1">_xlfn.IFNA(OFFSET(UNDESA_Data!$G$1,MATCH(I$1&amp;"_"&amp;$A20,UNDESA_Data!$L:$L,0)-1,0),0)</f>
        <v>3691</v>
      </c>
      <c r="J20" s="4">
        <f ca="1">_xlfn.IFNA(OFFSET(UNDESA_Data!$G$1,MATCH(J$1&amp;"_"&amp;$A20,UNDESA_Data!$L:$L,0)-1,0),0)</f>
        <v>179</v>
      </c>
      <c r="K20" s="4">
        <f ca="1">_xlfn.IFNA(OFFSET(UNDESA_Data!$G$1,MATCH(K$1&amp;"_"&amp;$A20,UNDESA_Data!$L:$L,0)-1,0),0)</f>
        <v>175</v>
      </c>
      <c r="L20" s="4">
        <f ca="1">_xlfn.IFNA(OFFSET(UNDESA_Data!$G$1,MATCH(L$1&amp;"_"&amp;$A20,UNDESA_Data!$L:$L,0)-1,0),0)</f>
        <v>73</v>
      </c>
      <c r="M20" s="4">
        <f ca="1">_xlfn.IFNA(OFFSET(UNDESA_Data!$G$1,MATCH(M$1&amp;"_"&amp;$A20,UNDESA_Data!$L:$L,0)-1,0),0)</f>
        <v>3024</v>
      </c>
      <c r="N20" s="4">
        <f ca="1">_xlfn.IFNA(OFFSET(UNDESA_Data!$G$1,MATCH(N$1&amp;"_"&amp;$A20,UNDESA_Data!$L:$L,0)-1,0),0)</f>
        <v>125</v>
      </c>
      <c r="O20" s="4">
        <f ca="1">_xlfn.IFNA(OFFSET(UNDESA_Data!$G$1,MATCH(O$1&amp;"_"&amp;$A20,UNDESA_Data!$L:$L,0)-1,0),0)</f>
        <v>989</v>
      </c>
      <c r="P20" s="4">
        <f ca="1">_xlfn.IFNA(OFFSET(UNDESA_Data!$G$1,MATCH(P$1&amp;"_"&amp;$A20,UNDESA_Data!$L:$L,0)-1,0),0)</f>
        <v>0</v>
      </c>
      <c r="Q20" s="4">
        <f ca="1">_xlfn.IFNA(OFFSET(UNDESA_Data!$G$1,MATCH(Q$1&amp;"_"&amp;$A20,UNDESA_Data!$L:$L,0)-1,0),0)</f>
        <v>2362</v>
      </c>
      <c r="R20" s="4">
        <f ca="1">_xlfn.IFNA(OFFSET(UNDESA_Data!$G$1,MATCH(R$1&amp;"_"&amp;$A20,UNDESA_Data!$L:$L,0)-1,0),0)</f>
        <v>109748</v>
      </c>
      <c r="S20" s="4">
        <f ca="1">_xlfn.IFNA(OFFSET(UNDESA_Data!$G$1,MATCH(S$1&amp;"_"&amp;$A20,UNDESA_Data!$L:$L,0)-1,0),0)</f>
        <v>659</v>
      </c>
      <c r="T20" s="4">
        <f ca="1">_xlfn.IFNA(OFFSET(UNDESA_Data!$G$1,MATCH(T$1&amp;"_"&amp;$A20,UNDESA_Data!$L:$L,0)-1,0),0)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C517-D685-4914-9EDA-945E618BDBFE}">
  <dimension ref="A1:L314"/>
  <sheetViews>
    <sheetView workbookViewId="0">
      <selection activeCell="L9" sqref="L9"/>
    </sheetView>
  </sheetViews>
  <sheetFormatPr defaultRowHeight="14.4" x14ac:dyDescent="0.3"/>
  <cols>
    <col min="2" max="2" width="26.6640625" bestFit="1" customWidth="1"/>
    <col min="3" max="3" width="10.33203125" customWidth="1"/>
    <col min="4" max="4" width="29.5546875" bestFit="1" customWidth="1"/>
    <col min="12" max="12" width="35.21875" bestFit="1" customWidth="1"/>
  </cols>
  <sheetData>
    <row r="1" spans="1:12" ht="22.8" x14ac:dyDescent="0.3">
      <c r="A1" s="6" t="s">
        <v>19</v>
      </c>
      <c r="B1" s="7" t="s">
        <v>20</v>
      </c>
      <c r="C1" s="6" t="s">
        <v>21</v>
      </c>
      <c r="D1" s="7" t="s">
        <v>22</v>
      </c>
      <c r="E1" s="8">
        <v>1990</v>
      </c>
      <c r="F1" s="8">
        <v>1995</v>
      </c>
      <c r="G1" s="8">
        <v>2000</v>
      </c>
      <c r="H1" s="8">
        <v>2005</v>
      </c>
      <c r="I1" s="8">
        <v>2010</v>
      </c>
      <c r="J1" s="8">
        <v>2015</v>
      </c>
      <c r="K1" s="8">
        <v>2020</v>
      </c>
      <c r="L1" t="s">
        <v>23</v>
      </c>
    </row>
    <row r="2" spans="1:12" x14ac:dyDescent="0.3">
      <c r="A2" s="9">
        <v>31582</v>
      </c>
      <c r="B2" s="10" t="s">
        <v>24</v>
      </c>
      <c r="C2" s="10"/>
      <c r="D2" s="10" t="s">
        <v>1</v>
      </c>
      <c r="E2" s="11">
        <v>147234</v>
      </c>
      <c r="F2" s="11">
        <v>186685</v>
      </c>
      <c r="G2" s="11">
        <v>226137</v>
      </c>
      <c r="H2" s="11">
        <v>294672</v>
      </c>
      <c r="I2" s="11">
        <v>363142</v>
      </c>
      <c r="J2" s="11">
        <v>419048</v>
      </c>
      <c r="K2" s="11">
        <v>423136</v>
      </c>
      <c r="L2" t="str">
        <f>TRIM(B2)&amp;"_"&amp;TRIM(D2)</f>
        <v>Argentina_Bolivia</v>
      </c>
    </row>
    <row r="3" spans="1:12" x14ac:dyDescent="0.3">
      <c r="A3" s="9">
        <v>31583</v>
      </c>
      <c r="B3" s="10" t="s">
        <v>24</v>
      </c>
      <c r="C3" s="10"/>
      <c r="D3" s="10" t="s">
        <v>25</v>
      </c>
      <c r="E3" s="11">
        <v>34359</v>
      </c>
      <c r="F3" s="11">
        <v>33642</v>
      </c>
      <c r="G3" s="11">
        <v>32925</v>
      </c>
      <c r="H3" s="11">
        <v>37609</v>
      </c>
      <c r="I3" s="11">
        <v>42283</v>
      </c>
      <c r="J3" s="11">
        <v>48792</v>
      </c>
      <c r="K3" s="11">
        <v>49267</v>
      </c>
      <c r="L3" t="str">
        <f t="shared" ref="L3:L66" si="0">TRIM(B3)&amp;"_"&amp;TRIM(D3)</f>
        <v>Argentina_Brazil</v>
      </c>
    </row>
    <row r="4" spans="1:12" x14ac:dyDescent="0.3">
      <c r="A4" s="9">
        <v>31590</v>
      </c>
      <c r="B4" s="10" t="s">
        <v>24</v>
      </c>
      <c r="C4" s="10"/>
      <c r="D4" s="10" t="s">
        <v>26</v>
      </c>
      <c r="E4" s="11">
        <v>796</v>
      </c>
      <c r="F4" s="11">
        <v>953</v>
      </c>
      <c r="G4" s="11">
        <v>1110</v>
      </c>
      <c r="H4" s="11">
        <v>820</v>
      </c>
      <c r="I4" s="11">
        <v>528</v>
      </c>
      <c r="J4" s="11">
        <v>530</v>
      </c>
      <c r="K4" s="11">
        <v>535</v>
      </c>
      <c r="L4" t="str">
        <f t="shared" si="0"/>
        <v>Argentina_Canada</v>
      </c>
    </row>
    <row r="5" spans="1:12" x14ac:dyDescent="0.3">
      <c r="A5" s="9">
        <v>31593</v>
      </c>
      <c r="B5" s="10" t="s">
        <v>24</v>
      </c>
      <c r="C5" s="10"/>
      <c r="D5" s="10" t="s">
        <v>27</v>
      </c>
      <c r="E5" s="11">
        <v>223528</v>
      </c>
      <c r="F5" s="11">
        <v>214736</v>
      </c>
      <c r="G5" s="11">
        <v>205945</v>
      </c>
      <c r="H5" s="11">
        <v>195338</v>
      </c>
      <c r="I5" s="11">
        <v>184687</v>
      </c>
      <c r="J5" s="11">
        <v>213119</v>
      </c>
      <c r="K5" s="11">
        <v>215198</v>
      </c>
      <c r="L5" t="str">
        <f t="shared" si="0"/>
        <v>Argentina_Chile</v>
      </c>
    </row>
    <row r="6" spans="1:12" x14ac:dyDescent="0.3">
      <c r="A6" s="9">
        <v>31595</v>
      </c>
      <c r="B6" s="10" t="s">
        <v>24</v>
      </c>
      <c r="C6" s="10"/>
      <c r="D6" s="10" t="s">
        <v>28</v>
      </c>
      <c r="E6" s="11">
        <v>2702</v>
      </c>
      <c r="F6" s="11">
        <v>3162</v>
      </c>
      <c r="G6" s="11">
        <v>3622</v>
      </c>
      <c r="H6" s="11">
        <v>2673</v>
      </c>
      <c r="I6" s="11">
        <v>1722</v>
      </c>
      <c r="J6" s="11">
        <v>8640</v>
      </c>
      <c r="K6" s="11">
        <v>8723</v>
      </c>
      <c r="L6" t="str">
        <f t="shared" si="0"/>
        <v>Argentina_Colombia</v>
      </c>
    </row>
    <row r="7" spans="1:12" x14ac:dyDescent="0.3">
      <c r="A7" s="9">
        <v>31597</v>
      </c>
      <c r="B7" s="10" t="s">
        <v>24</v>
      </c>
      <c r="C7" s="10"/>
      <c r="D7" s="10" t="s">
        <v>29</v>
      </c>
      <c r="E7" s="11">
        <v>462</v>
      </c>
      <c r="F7" s="11">
        <v>359</v>
      </c>
      <c r="G7" s="11">
        <v>257</v>
      </c>
      <c r="H7" s="11">
        <v>191</v>
      </c>
      <c r="I7" s="11">
        <v>123</v>
      </c>
      <c r="J7" s="11">
        <v>123</v>
      </c>
      <c r="K7" s="11">
        <v>124</v>
      </c>
      <c r="L7" t="str">
        <f t="shared" si="0"/>
        <v>Argentina_Costa Rica</v>
      </c>
    </row>
    <row r="8" spans="1:12" x14ac:dyDescent="0.3">
      <c r="A8" s="9">
        <v>31605</v>
      </c>
      <c r="B8" s="10" t="s">
        <v>24</v>
      </c>
      <c r="C8" s="10"/>
      <c r="D8" s="10" t="s">
        <v>30</v>
      </c>
      <c r="E8" s="11">
        <v>999</v>
      </c>
      <c r="F8" s="11">
        <v>1501</v>
      </c>
      <c r="G8" s="11">
        <v>2004</v>
      </c>
      <c r="H8" s="11">
        <v>1479</v>
      </c>
      <c r="I8" s="11">
        <v>952</v>
      </c>
      <c r="J8" s="11">
        <v>955</v>
      </c>
      <c r="K8" s="11">
        <v>963</v>
      </c>
      <c r="L8" t="str">
        <f t="shared" si="0"/>
        <v>Argentina_Ecuador</v>
      </c>
    </row>
    <row r="9" spans="1:12" x14ac:dyDescent="0.3">
      <c r="A9" s="9">
        <v>31606</v>
      </c>
      <c r="B9" s="10" t="s">
        <v>24</v>
      </c>
      <c r="C9" s="10"/>
      <c r="D9" s="10" t="s">
        <v>31</v>
      </c>
      <c r="E9" s="11">
        <v>182</v>
      </c>
      <c r="F9" s="11">
        <v>169</v>
      </c>
      <c r="G9" s="11">
        <v>156</v>
      </c>
      <c r="H9" s="11">
        <v>116</v>
      </c>
      <c r="I9" s="11">
        <v>73</v>
      </c>
      <c r="J9" s="11">
        <v>73</v>
      </c>
      <c r="K9" s="11">
        <v>74</v>
      </c>
      <c r="L9" t="str">
        <f t="shared" si="0"/>
        <v>Argentina_El Salvador</v>
      </c>
    </row>
    <row r="10" spans="1:12" x14ac:dyDescent="0.3">
      <c r="A10" s="9">
        <v>31617</v>
      </c>
      <c r="B10" s="10" t="s">
        <v>24</v>
      </c>
      <c r="C10" s="10"/>
      <c r="D10" s="10" t="s">
        <v>32</v>
      </c>
      <c r="E10" s="11">
        <v>116</v>
      </c>
      <c r="F10" s="11">
        <v>158</v>
      </c>
      <c r="G10" s="11">
        <v>201</v>
      </c>
      <c r="H10" s="11">
        <v>150</v>
      </c>
      <c r="I10" s="11">
        <v>96</v>
      </c>
      <c r="J10" s="11">
        <v>96</v>
      </c>
      <c r="K10" s="11">
        <v>96</v>
      </c>
      <c r="L10" t="str">
        <f t="shared" si="0"/>
        <v>Argentina_Guatemala</v>
      </c>
    </row>
    <row r="11" spans="1:12" x14ac:dyDescent="0.3">
      <c r="A11" s="9">
        <v>31620</v>
      </c>
      <c r="B11" s="10" t="s">
        <v>24</v>
      </c>
      <c r="C11" s="10"/>
      <c r="D11" s="10" t="s">
        <v>33</v>
      </c>
      <c r="E11" s="11">
        <v>141</v>
      </c>
      <c r="F11" s="11">
        <v>140</v>
      </c>
      <c r="G11" s="11">
        <v>139</v>
      </c>
      <c r="H11" s="11">
        <v>104</v>
      </c>
      <c r="I11" s="11">
        <v>66</v>
      </c>
      <c r="J11" s="11">
        <v>66</v>
      </c>
      <c r="K11" s="11">
        <v>66</v>
      </c>
      <c r="L11" t="str">
        <f t="shared" si="0"/>
        <v>Argentina_Honduras</v>
      </c>
    </row>
    <row r="12" spans="1:12" x14ac:dyDescent="0.3">
      <c r="A12" s="9">
        <v>31648</v>
      </c>
      <c r="B12" s="10" t="s">
        <v>24</v>
      </c>
      <c r="C12" s="10"/>
      <c r="D12" s="10" t="s">
        <v>34</v>
      </c>
      <c r="E12" s="11">
        <v>2332</v>
      </c>
      <c r="F12" s="11">
        <v>2686</v>
      </c>
      <c r="G12" s="11">
        <v>3040</v>
      </c>
      <c r="H12" s="11">
        <v>2244</v>
      </c>
      <c r="I12" s="11">
        <v>1445</v>
      </c>
      <c r="J12" s="11">
        <v>1450</v>
      </c>
      <c r="K12" s="11">
        <v>1463</v>
      </c>
      <c r="L12" t="str">
        <f t="shared" si="0"/>
        <v>Argentina_Mexico</v>
      </c>
    </row>
    <row r="13" spans="1:12" x14ac:dyDescent="0.3">
      <c r="A13" s="9">
        <v>31658</v>
      </c>
      <c r="B13" s="10" t="s">
        <v>24</v>
      </c>
      <c r="C13" s="10"/>
      <c r="D13" s="10" t="s">
        <v>35</v>
      </c>
      <c r="E13" s="11">
        <v>145</v>
      </c>
      <c r="F13" s="11">
        <v>167</v>
      </c>
      <c r="G13" s="11">
        <v>190</v>
      </c>
      <c r="H13" s="11">
        <v>142</v>
      </c>
      <c r="I13" s="11">
        <v>91</v>
      </c>
      <c r="J13" s="11">
        <v>91</v>
      </c>
      <c r="K13" s="11">
        <v>91</v>
      </c>
      <c r="L13" t="str">
        <f t="shared" si="0"/>
        <v>Argentina_Nicaragua</v>
      </c>
    </row>
    <row r="14" spans="1:12" x14ac:dyDescent="0.3">
      <c r="A14" s="9">
        <v>31664</v>
      </c>
      <c r="B14" s="10" t="s">
        <v>24</v>
      </c>
      <c r="C14" s="10"/>
      <c r="D14" s="10" t="s">
        <v>36</v>
      </c>
      <c r="E14" s="11">
        <v>376</v>
      </c>
      <c r="F14" s="11">
        <v>357</v>
      </c>
      <c r="G14" s="11">
        <v>338</v>
      </c>
      <c r="H14" s="11">
        <v>250</v>
      </c>
      <c r="I14" s="11">
        <v>160</v>
      </c>
      <c r="J14" s="11">
        <v>161</v>
      </c>
      <c r="K14" s="11">
        <v>161</v>
      </c>
      <c r="L14" t="str">
        <f t="shared" si="0"/>
        <v>Argentina_Panama</v>
      </c>
    </row>
    <row r="15" spans="1:12" x14ac:dyDescent="0.3">
      <c r="A15" s="9">
        <v>31665</v>
      </c>
      <c r="B15" s="10" t="s">
        <v>24</v>
      </c>
      <c r="C15" s="10"/>
      <c r="D15" s="10" t="s">
        <v>37</v>
      </c>
      <c r="E15" s="11">
        <v>257243</v>
      </c>
      <c r="F15" s="11">
        <v>286164</v>
      </c>
      <c r="G15" s="11">
        <v>315086</v>
      </c>
      <c r="H15" s="11">
        <v>451818</v>
      </c>
      <c r="I15" s="11">
        <v>588452</v>
      </c>
      <c r="J15" s="11">
        <v>679044</v>
      </c>
      <c r="K15" s="11">
        <v>685714</v>
      </c>
      <c r="L15" t="str">
        <f t="shared" si="0"/>
        <v>Argentina_Paraguay</v>
      </c>
    </row>
    <row r="16" spans="1:12" x14ac:dyDescent="0.3">
      <c r="A16" s="9">
        <v>31666</v>
      </c>
      <c r="B16" s="10" t="s">
        <v>24</v>
      </c>
      <c r="C16" s="10"/>
      <c r="D16" s="10" t="s">
        <v>38</v>
      </c>
      <c r="E16" s="11">
        <v>16366</v>
      </c>
      <c r="F16" s="11">
        <v>50888</v>
      </c>
      <c r="G16" s="11">
        <v>85411</v>
      </c>
      <c r="H16" s="11">
        <v>127351</v>
      </c>
      <c r="I16" s="11">
        <v>169262</v>
      </c>
      <c r="J16" s="11">
        <v>195320</v>
      </c>
      <c r="K16" s="11">
        <v>197226</v>
      </c>
      <c r="L16" t="str">
        <f t="shared" si="0"/>
        <v>Argentina_Peru</v>
      </c>
    </row>
    <row r="17" spans="1:12" x14ac:dyDescent="0.3">
      <c r="A17" s="9">
        <v>31698</v>
      </c>
      <c r="B17" s="10" t="s">
        <v>24</v>
      </c>
      <c r="C17" s="10"/>
      <c r="D17" s="10" t="s">
        <v>16</v>
      </c>
      <c r="E17" s="11">
        <v>9992</v>
      </c>
      <c r="F17" s="11">
        <v>9678</v>
      </c>
      <c r="G17" s="11">
        <v>9364</v>
      </c>
      <c r="H17" s="11">
        <v>6908</v>
      </c>
      <c r="I17" s="11">
        <v>4450</v>
      </c>
      <c r="J17" s="11">
        <v>5135</v>
      </c>
      <c r="K17" s="11">
        <v>5184</v>
      </c>
      <c r="L17" t="str">
        <f t="shared" si="0"/>
        <v>Argentina_United States</v>
      </c>
    </row>
    <row r="18" spans="1:12" x14ac:dyDescent="0.3">
      <c r="A18" s="9">
        <v>31700</v>
      </c>
      <c r="B18" s="10" t="s">
        <v>24</v>
      </c>
      <c r="C18" s="10"/>
      <c r="D18" s="10" t="s">
        <v>39</v>
      </c>
      <c r="E18" s="11">
        <v>136906</v>
      </c>
      <c r="F18" s="11">
        <v>125366</v>
      </c>
      <c r="G18" s="11">
        <v>113827</v>
      </c>
      <c r="H18" s="11">
        <v>114446</v>
      </c>
      <c r="I18" s="11">
        <v>115039</v>
      </c>
      <c r="J18" s="11">
        <v>132749</v>
      </c>
      <c r="K18" s="11">
        <v>134043</v>
      </c>
      <c r="L18" t="str">
        <f t="shared" si="0"/>
        <v>Argentina_Uruguay</v>
      </c>
    </row>
    <row r="19" spans="1:12" x14ac:dyDescent="0.3">
      <c r="A19" s="9">
        <v>31701</v>
      </c>
      <c r="B19" s="10" t="s">
        <v>24</v>
      </c>
      <c r="C19" s="10"/>
      <c r="D19" s="10" t="s">
        <v>18</v>
      </c>
      <c r="E19" s="11">
        <v>1981</v>
      </c>
      <c r="F19" s="11">
        <v>2290</v>
      </c>
      <c r="G19" s="11">
        <v>2600</v>
      </c>
      <c r="H19" s="11">
        <v>1919</v>
      </c>
      <c r="I19" s="11">
        <v>1236</v>
      </c>
      <c r="J19" s="11">
        <v>1240</v>
      </c>
      <c r="K19" s="11">
        <v>176369</v>
      </c>
      <c r="L19" t="str">
        <f t="shared" si="0"/>
        <v>Argentina_Venezuela</v>
      </c>
    </row>
    <row r="20" spans="1:12" x14ac:dyDescent="0.3">
      <c r="A20" s="12">
        <v>31759</v>
      </c>
      <c r="B20" s="13" t="s">
        <v>1</v>
      </c>
      <c r="C20" s="13"/>
      <c r="D20" s="13" t="s">
        <v>24</v>
      </c>
      <c r="E20" s="14">
        <v>21923</v>
      </c>
      <c r="F20" s="14">
        <v>25141</v>
      </c>
      <c r="G20" s="14">
        <v>28095</v>
      </c>
      <c r="H20" s="14">
        <v>32418</v>
      </c>
      <c r="I20" s="14">
        <v>36671</v>
      </c>
      <c r="J20" s="14">
        <v>42697</v>
      </c>
      <c r="K20" s="14">
        <v>47601</v>
      </c>
      <c r="L20" t="str">
        <f t="shared" si="0"/>
        <v>Bolivia_Argentina</v>
      </c>
    </row>
    <row r="21" spans="1:12" x14ac:dyDescent="0.3">
      <c r="A21" s="12">
        <v>31770</v>
      </c>
      <c r="B21" s="13" t="s">
        <v>1</v>
      </c>
      <c r="C21" s="13"/>
      <c r="D21" s="13" t="s">
        <v>25</v>
      </c>
      <c r="E21" s="14">
        <v>10558</v>
      </c>
      <c r="F21" s="14">
        <v>12746</v>
      </c>
      <c r="G21" s="14">
        <v>14801</v>
      </c>
      <c r="H21" s="14">
        <v>18453</v>
      </c>
      <c r="I21" s="14">
        <v>22066</v>
      </c>
      <c r="J21" s="14">
        <v>25692</v>
      </c>
      <c r="K21" s="14">
        <v>28612</v>
      </c>
      <c r="L21" t="str">
        <f t="shared" si="0"/>
        <v>Bolivia_Brazil</v>
      </c>
    </row>
    <row r="22" spans="1:12" x14ac:dyDescent="0.3">
      <c r="A22" s="12">
        <v>31778</v>
      </c>
      <c r="B22" s="13" t="s">
        <v>1</v>
      </c>
      <c r="C22" s="13"/>
      <c r="D22" s="13" t="s">
        <v>26</v>
      </c>
      <c r="E22" s="14">
        <v>1765</v>
      </c>
      <c r="F22" s="14">
        <v>1728</v>
      </c>
      <c r="G22" s="14">
        <v>1672</v>
      </c>
      <c r="H22" s="14">
        <v>1430</v>
      </c>
      <c r="I22" s="14">
        <v>1185</v>
      </c>
      <c r="J22" s="14">
        <v>1381</v>
      </c>
      <c r="K22" s="14">
        <v>1536</v>
      </c>
      <c r="L22" t="str">
        <f t="shared" si="0"/>
        <v>Bolivia_Canada</v>
      </c>
    </row>
    <row r="23" spans="1:12" x14ac:dyDescent="0.3">
      <c r="A23" s="12">
        <v>31783</v>
      </c>
      <c r="B23" s="13" t="s">
        <v>1</v>
      </c>
      <c r="C23" s="13"/>
      <c r="D23" s="13" t="s">
        <v>27</v>
      </c>
      <c r="E23" s="14">
        <v>4807</v>
      </c>
      <c r="F23" s="14">
        <v>4622</v>
      </c>
      <c r="G23" s="14">
        <v>4388</v>
      </c>
      <c r="H23" s="14">
        <v>4230</v>
      </c>
      <c r="I23" s="14">
        <v>4063</v>
      </c>
      <c r="J23" s="14">
        <v>4731</v>
      </c>
      <c r="K23" s="14">
        <v>5268</v>
      </c>
      <c r="L23" t="str">
        <f t="shared" si="0"/>
        <v>Bolivia_Chile</v>
      </c>
    </row>
    <row r="24" spans="1:12" x14ac:dyDescent="0.3">
      <c r="A24" s="12">
        <v>31785</v>
      </c>
      <c r="B24" s="13" t="s">
        <v>1</v>
      </c>
      <c r="C24" s="13"/>
      <c r="D24" s="13" t="s">
        <v>28</v>
      </c>
      <c r="E24" s="14">
        <v>651</v>
      </c>
      <c r="F24" s="14">
        <v>1002</v>
      </c>
      <c r="G24" s="14">
        <v>1342</v>
      </c>
      <c r="H24" s="14">
        <v>1946</v>
      </c>
      <c r="I24" s="14">
        <v>2546</v>
      </c>
      <c r="J24" s="14">
        <v>2965</v>
      </c>
      <c r="K24" s="14">
        <v>3301</v>
      </c>
      <c r="L24" t="str">
        <f t="shared" si="0"/>
        <v>Bolivia_Colombia</v>
      </c>
    </row>
    <row r="25" spans="1:12" x14ac:dyDescent="0.3">
      <c r="A25" s="12">
        <v>31788</v>
      </c>
      <c r="B25" s="13" t="s">
        <v>1</v>
      </c>
      <c r="C25" s="13"/>
      <c r="D25" s="13" t="s">
        <v>29</v>
      </c>
      <c r="E25" s="14">
        <v>102</v>
      </c>
      <c r="F25" s="14">
        <v>122</v>
      </c>
      <c r="G25" s="14">
        <v>141</v>
      </c>
      <c r="H25" s="14">
        <v>133</v>
      </c>
      <c r="I25" s="14">
        <v>125</v>
      </c>
      <c r="J25" s="14">
        <v>147</v>
      </c>
      <c r="K25" s="14">
        <v>162</v>
      </c>
      <c r="L25" t="str">
        <f t="shared" si="0"/>
        <v>Bolivia_Costa Rica</v>
      </c>
    </row>
    <row r="26" spans="1:12" x14ac:dyDescent="0.3">
      <c r="A26" s="12">
        <v>31797</v>
      </c>
      <c r="B26" s="13" t="s">
        <v>1</v>
      </c>
      <c r="C26" s="13"/>
      <c r="D26" s="13" t="s">
        <v>30</v>
      </c>
      <c r="E26" s="14">
        <v>299</v>
      </c>
      <c r="F26" s="14">
        <v>521</v>
      </c>
      <c r="G26" s="14">
        <v>738</v>
      </c>
      <c r="H26" s="14">
        <v>800</v>
      </c>
      <c r="I26" s="14">
        <v>861</v>
      </c>
      <c r="J26" s="14">
        <v>1003</v>
      </c>
      <c r="K26" s="14">
        <v>1115</v>
      </c>
      <c r="L26" t="str">
        <f t="shared" si="0"/>
        <v>Bolivia_Ecuador</v>
      </c>
    </row>
    <row r="27" spans="1:12" x14ac:dyDescent="0.3">
      <c r="A27" s="12">
        <v>31798</v>
      </c>
      <c r="B27" s="13" t="s">
        <v>1</v>
      </c>
      <c r="C27" s="13"/>
      <c r="D27" s="13" t="s">
        <v>31</v>
      </c>
      <c r="E27" s="14">
        <v>57</v>
      </c>
      <c r="F27" s="14">
        <v>82</v>
      </c>
      <c r="G27" s="14">
        <v>107</v>
      </c>
      <c r="H27" s="14">
        <v>108</v>
      </c>
      <c r="I27" s="14">
        <v>109</v>
      </c>
      <c r="J27" s="14">
        <v>128</v>
      </c>
      <c r="K27" s="14">
        <v>140</v>
      </c>
      <c r="L27" t="str">
        <f t="shared" si="0"/>
        <v>Bolivia_El Salvador</v>
      </c>
    </row>
    <row r="28" spans="1:12" x14ac:dyDescent="0.3">
      <c r="A28" s="12">
        <v>31814</v>
      </c>
      <c r="B28" s="13" t="s">
        <v>1</v>
      </c>
      <c r="C28" s="13"/>
      <c r="D28" s="13" t="s">
        <v>32</v>
      </c>
      <c r="E28" s="14">
        <v>146</v>
      </c>
      <c r="F28" s="14">
        <v>144</v>
      </c>
      <c r="G28" s="14">
        <v>141</v>
      </c>
      <c r="H28" s="14">
        <v>132</v>
      </c>
      <c r="I28" s="14">
        <v>122</v>
      </c>
      <c r="J28" s="14">
        <v>143</v>
      </c>
      <c r="K28" s="14">
        <v>158</v>
      </c>
      <c r="L28" t="str">
        <f t="shared" si="0"/>
        <v>Bolivia_Guatemala</v>
      </c>
    </row>
    <row r="29" spans="1:12" x14ac:dyDescent="0.3">
      <c r="A29" s="12">
        <v>31818</v>
      </c>
      <c r="B29" s="13" t="s">
        <v>1</v>
      </c>
      <c r="C29" s="13"/>
      <c r="D29" s="13" t="s">
        <v>33</v>
      </c>
      <c r="E29" s="14">
        <v>232</v>
      </c>
      <c r="F29" s="14">
        <v>216</v>
      </c>
      <c r="G29" s="14">
        <v>197</v>
      </c>
      <c r="H29" s="14">
        <v>198</v>
      </c>
      <c r="I29" s="14">
        <v>198</v>
      </c>
      <c r="J29" s="14">
        <v>232</v>
      </c>
      <c r="K29" s="14">
        <v>257</v>
      </c>
      <c r="L29" t="str">
        <f t="shared" si="0"/>
        <v>Bolivia_Honduras</v>
      </c>
    </row>
    <row r="30" spans="1:12" x14ac:dyDescent="0.3">
      <c r="A30" s="12">
        <v>31854</v>
      </c>
      <c r="B30" s="13" t="s">
        <v>1</v>
      </c>
      <c r="C30" s="13"/>
      <c r="D30" s="13" t="s">
        <v>34</v>
      </c>
      <c r="E30" s="14">
        <v>8125</v>
      </c>
      <c r="F30" s="14">
        <v>8770</v>
      </c>
      <c r="G30" s="14">
        <v>9323</v>
      </c>
      <c r="H30" s="14">
        <v>8760</v>
      </c>
      <c r="I30" s="14">
        <v>8179</v>
      </c>
      <c r="J30" s="14">
        <v>9524</v>
      </c>
      <c r="K30" s="14">
        <v>10606</v>
      </c>
      <c r="L30" t="str">
        <f t="shared" si="0"/>
        <v>Bolivia_Mexico</v>
      </c>
    </row>
    <row r="31" spans="1:12" x14ac:dyDescent="0.3">
      <c r="A31" s="12">
        <v>31871</v>
      </c>
      <c r="B31" s="13" t="s">
        <v>1</v>
      </c>
      <c r="C31" s="13"/>
      <c r="D31" s="13" t="s">
        <v>35</v>
      </c>
      <c r="E31" s="14">
        <v>66</v>
      </c>
      <c r="F31" s="14">
        <v>76</v>
      </c>
      <c r="G31" s="14">
        <v>85</v>
      </c>
      <c r="H31" s="14">
        <v>90</v>
      </c>
      <c r="I31" s="14">
        <v>95</v>
      </c>
      <c r="J31" s="14">
        <v>112</v>
      </c>
      <c r="K31" s="14">
        <v>123</v>
      </c>
      <c r="L31" t="str">
        <f t="shared" si="0"/>
        <v>Bolivia_Nicaragua</v>
      </c>
    </row>
    <row r="32" spans="1:12" x14ac:dyDescent="0.3">
      <c r="A32" s="12">
        <v>31877</v>
      </c>
      <c r="B32" s="13" t="s">
        <v>1</v>
      </c>
      <c r="C32" s="13"/>
      <c r="D32" s="13" t="s">
        <v>36</v>
      </c>
      <c r="E32" s="14">
        <v>92</v>
      </c>
      <c r="F32" s="14">
        <v>95</v>
      </c>
      <c r="G32" s="14">
        <v>97</v>
      </c>
      <c r="H32" s="14">
        <v>96</v>
      </c>
      <c r="I32" s="14">
        <v>94</v>
      </c>
      <c r="J32" s="14">
        <v>110</v>
      </c>
      <c r="K32" s="14">
        <v>121</v>
      </c>
      <c r="L32" t="str">
        <f t="shared" si="0"/>
        <v>Bolivia_Panama</v>
      </c>
    </row>
    <row r="33" spans="1:12" x14ac:dyDescent="0.3">
      <c r="A33" s="12">
        <v>31879</v>
      </c>
      <c r="B33" s="13" t="s">
        <v>1</v>
      </c>
      <c r="C33" s="13"/>
      <c r="D33" s="13" t="s">
        <v>37</v>
      </c>
      <c r="E33" s="14">
        <v>1173</v>
      </c>
      <c r="F33" s="14">
        <v>2216</v>
      </c>
      <c r="G33" s="14">
        <v>3236</v>
      </c>
      <c r="H33" s="14">
        <v>3462</v>
      </c>
      <c r="I33" s="14">
        <v>3681</v>
      </c>
      <c r="J33" s="14">
        <v>4286</v>
      </c>
      <c r="K33" s="14">
        <v>4772</v>
      </c>
      <c r="L33" t="str">
        <f t="shared" si="0"/>
        <v>Bolivia_Paraguay</v>
      </c>
    </row>
    <row r="34" spans="1:12" x14ac:dyDescent="0.3">
      <c r="A34" s="12">
        <v>31880</v>
      </c>
      <c r="B34" s="13" t="s">
        <v>1</v>
      </c>
      <c r="C34" s="13"/>
      <c r="D34" s="13" t="s">
        <v>38</v>
      </c>
      <c r="E34" s="14">
        <v>7138</v>
      </c>
      <c r="F34" s="14">
        <v>8306</v>
      </c>
      <c r="G34" s="14">
        <v>9386</v>
      </c>
      <c r="H34" s="14">
        <v>9549</v>
      </c>
      <c r="I34" s="14">
        <v>9691</v>
      </c>
      <c r="J34" s="14">
        <v>11284</v>
      </c>
      <c r="K34" s="14">
        <v>12565</v>
      </c>
      <c r="L34" t="str">
        <f t="shared" si="0"/>
        <v>Bolivia_Peru</v>
      </c>
    </row>
    <row r="35" spans="1:12" x14ac:dyDescent="0.3">
      <c r="A35" s="12">
        <v>31923</v>
      </c>
      <c r="B35" s="13" t="s">
        <v>1</v>
      </c>
      <c r="C35" s="13"/>
      <c r="D35" s="13" t="s">
        <v>16</v>
      </c>
      <c r="E35" s="14">
        <v>3078</v>
      </c>
      <c r="F35" s="14">
        <v>3385</v>
      </c>
      <c r="G35" s="14">
        <v>3656</v>
      </c>
      <c r="H35" s="14">
        <v>3935</v>
      </c>
      <c r="I35" s="14">
        <v>4206</v>
      </c>
      <c r="J35" s="14">
        <v>4897</v>
      </c>
      <c r="K35" s="14">
        <v>5453</v>
      </c>
      <c r="L35" t="str">
        <f t="shared" si="0"/>
        <v>Bolivia_United States</v>
      </c>
    </row>
    <row r="36" spans="1:12" x14ac:dyDescent="0.3">
      <c r="A36" s="12">
        <v>31924</v>
      </c>
      <c r="B36" s="13" t="s">
        <v>1</v>
      </c>
      <c r="C36" s="13"/>
      <c r="D36" s="13" t="s">
        <v>39</v>
      </c>
      <c r="E36" s="14">
        <v>402</v>
      </c>
      <c r="F36" s="14">
        <v>430</v>
      </c>
      <c r="G36" s="14">
        <v>453</v>
      </c>
      <c r="H36" s="14">
        <v>445</v>
      </c>
      <c r="I36" s="14">
        <v>437</v>
      </c>
      <c r="J36" s="14">
        <v>510</v>
      </c>
      <c r="K36" s="14">
        <v>565</v>
      </c>
      <c r="L36" t="str">
        <f t="shared" si="0"/>
        <v>Bolivia_Uruguay</v>
      </c>
    </row>
    <row r="37" spans="1:12" x14ac:dyDescent="0.3">
      <c r="A37" s="12">
        <v>31926</v>
      </c>
      <c r="B37" s="13" t="s">
        <v>1</v>
      </c>
      <c r="C37" s="13"/>
      <c r="D37" s="13" t="s">
        <v>18</v>
      </c>
      <c r="E37" s="14">
        <v>369</v>
      </c>
      <c r="F37" s="14">
        <v>458</v>
      </c>
      <c r="G37" s="14">
        <v>543</v>
      </c>
      <c r="H37" s="14">
        <v>604</v>
      </c>
      <c r="I37" s="14">
        <v>664</v>
      </c>
      <c r="J37" s="14">
        <v>774</v>
      </c>
      <c r="K37" s="14">
        <v>5707</v>
      </c>
      <c r="L37" t="str">
        <f t="shared" si="0"/>
        <v>Bolivia_Venezuela</v>
      </c>
    </row>
    <row r="38" spans="1:12" x14ac:dyDescent="0.3">
      <c r="A38" s="9">
        <v>31982</v>
      </c>
      <c r="B38" s="10" t="s">
        <v>25</v>
      </c>
      <c r="C38" s="10"/>
      <c r="D38" s="10" t="s">
        <v>24</v>
      </c>
      <c r="E38" s="11">
        <v>28350</v>
      </c>
      <c r="F38" s="11">
        <v>27974</v>
      </c>
      <c r="G38" s="11">
        <v>27597</v>
      </c>
      <c r="H38" s="11">
        <v>28410</v>
      </c>
      <c r="I38" s="11">
        <v>28819</v>
      </c>
      <c r="J38" s="11">
        <v>33971</v>
      </c>
      <c r="K38" s="11">
        <v>36910</v>
      </c>
      <c r="L38" t="str">
        <f t="shared" si="0"/>
        <v>Brazil_Argentina</v>
      </c>
    </row>
    <row r="39" spans="1:12" x14ac:dyDescent="0.3">
      <c r="A39" s="9">
        <v>31991</v>
      </c>
      <c r="B39" s="10" t="s">
        <v>25</v>
      </c>
      <c r="C39" s="10"/>
      <c r="D39" s="10" t="s">
        <v>1</v>
      </c>
      <c r="E39" s="11">
        <v>15996</v>
      </c>
      <c r="F39" s="11">
        <v>18217</v>
      </c>
      <c r="G39" s="11">
        <v>20437</v>
      </c>
      <c r="H39" s="11">
        <v>29671</v>
      </c>
      <c r="I39" s="11">
        <v>38484</v>
      </c>
      <c r="J39" s="11">
        <v>45364</v>
      </c>
      <c r="K39" s="11">
        <v>49289</v>
      </c>
      <c r="L39" t="str">
        <f t="shared" si="0"/>
        <v>Brazil_Bolivia</v>
      </c>
    </row>
    <row r="40" spans="1:12" x14ac:dyDescent="0.3">
      <c r="A40" s="9">
        <v>32001</v>
      </c>
      <c r="B40" s="10" t="s">
        <v>25</v>
      </c>
      <c r="C40" s="10"/>
      <c r="D40" s="10" t="s">
        <v>26</v>
      </c>
      <c r="E40" s="11">
        <v>970</v>
      </c>
      <c r="F40" s="11">
        <v>1113</v>
      </c>
      <c r="G40" s="11">
        <v>1256</v>
      </c>
      <c r="H40" s="11">
        <v>1425</v>
      </c>
      <c r="I40" s="11">
        <v>1574</v>
      </c>
      <c r="J40" s="11">
        <v>1855</v>
      </c>
      <c r="K40" s="11">
        <v>2014</v>
      </c>
      <c r="L40" t="str">
        <f t="shared" si="0"/>
        <v>Brazil_Canada</v>
      </c>
    </row>
    <row r="41" spans="1:12" x14ac:dyDescent="0.3">
      <c r="A41" s="9">
        <v>32004</v>
      </c>
      <c r="B41" s="10" t="s">
        <v>25</v>
      </c>
      <c r="C41" s="10"/>
      <c r="D41" s="10" t="s">
        <v>27</v>
      </c>
      <c r="E41" s="11">
        <v>22243</v>
      </c>
      <c r="F41" s="11">
        <v>19708</v>
      </c>
      <c r="G41" s="11">
        <v>17172</v>
      </c>
      <c r="H41" s="11">
        <v>16352</v>
      </c>
      <c r="I41" s="11">
        <v>15300</v>
      </c>
      <c r="J41" s="11">
        <v>18036</v>
      </c>
      <c r="K41" s="11">
        <v>19596</v>
      </c>
      <c r="L41" t="str">
        <f t="shared" si="0"/>
        <v>Brazil_Chile</v>
      </c>
    </row>
    <row r="42" spans="1:12" x14ac:dyDescent="0.3">
      <c r="A42" s="9">
        <v>32006</v>
      </c>
      <c r="B42" s="10" t="s">
        <v>25</v>
      </c>
      <c r="C42" s="10"/>
      <c r="D42" s="10" t="s">
        <v>28</v>
      </c>
      <c r="E42" s="11">
        <v>2223</v>
      </c>
      <c r="F42" s="11">
        <v>3196</v>
      </c>
      <c r="G42" s="11">
        <v>4169</v>
      </c>
      <c r="H42" s="11">
        <v>5520</v>
      </c>
      <c r="I42" s="11">
        <v>6793</v>
      </c>
      <c r="J42" s="11">
        <v>8008</v>
      </c>
      <c r="K42" s="11">
        <v>8700</v>
      </c>
      <c r="L42" t="str">
        <f t="shared" si="0"/>
        <v>Brazil_Colombia</v>
      </c>
    </row>
    <row r="43" spans="1:12" x14ac:dyDescent="0.3">
      <c r="A43" s="9">
        <v>32009</v>
      </c>
      <c r="B43" s="10" t="s">
        <v>25</v>
      </c>
      <c r="C43" s="10"/>
      <c r="D43" s="10" t="s">
        <v>29</v>
      </c>
      <c r="E43" s="11">
        <v>388</v>
      </c>
      <c r="F43" s="11">
        <v>314</v>
      </c>
      <c r="G43" s="11">
        <v>239</v>
      </c>
      <c r="H43" s="11">
        <v>313</v>
      </c>
      <c r="I43" s="11">
        <v>384</v>
      </c>
      <c r="J43" s="11">
        <v>452</v>
      </c>
      <c r="K43" s="11">
        <v>490</v>
      </c>
      <c r="L43" t="str">
        <f t="shared" si="0"/>
        <v>Brazil_Costa Rica</v>
      </c>
    </row>
    <row r="44" spans="1:12" x14ac:dyDescent="0.3">
      <c r="A44" s="9">
        <v>32017</v>
      </c>
      <c r="B44" s="10" t="s">
        <v>25</v>
      </c>
      <c r="C44" s="10"/>
      <c r="D44" s="10" t="s">
        <v>30</v>
      </c>
      <c r="E44" s="11">
        <v>614</v>
      </c>
      <c r="F44" s="11">
        <v>903</v>
      </c>
      <c r="G44" s="11">
        <v>1191</v>
      </c>
      <c r="H44" s="11">
        <v>1463</v>
      </c>
      <c r="I44" s="11">
        <v>1716</v>
      </c>
      <c r="J44" s="11">
        <v>2022</v>
      </c>
      <c r="K44" s="11">
        <v>2195</v>
      </c>
      <c r="L44" t="str">
        <f t="shared" si="0"/>
        <v>Brazil_Ecuador</v>
      </c>
    </row>
    <row r="45" spans="1:12" x14ac:dyDescent="0.3">
      <c r="A45" s="9">
        <v>32018</v>
      </c>
      <c r="B45" s="10" t="s">
        <v>25</v>
      </c>
      <c r="C45" s="10"/>
      <c r="D45" s="10" t="s">
        <v>31</v>
      </c>
      <c r="E45" s="11">
        <v>405</v>
      </c>
      <c r="F45" s="11">
        <v>443</v>
      </c>
      <c r="G45" s="11">
        <v>481</v>
      </c>
      <c r="H45" s="11">
        <v>356</v>
      </c>
      <c r="I45" s="11">
        <v>227</v>
      </c>
      <c r="J45" s="11">
        <v>267</v>
      </c>
      <c r="K45" s="11">
        <v>289</v>
      </c>
      <c r="L45" t="str">
        <f t="shared" si="0"/>
        <v>Brazil_El Salvador</v>
      </c>
    </row>
    <row r="46" spans="1:12" x14ac:dyDescent="0.3">
      <c r="A46" s="9">
        <v>32032</v>
      </c>
      <c r="B46" s="10" t="s">
        <v>25</v>
      </c>
      <c r="C46" s="10"/>
      <c r="D46" s="10" t="s">
        <v>32</v>
      </c>
      <c r="E46" s="11">
        <v>53</v>
      </c>
      <c r="F46" s="11">
        <v>106</v>
      </c>
      <c r="G46" s="11">
        <v>158</v>
      </c>
      <c r="H46" s="11">
        <v>225</v>
      </c>
      <c r="I46" s="11">
        <v>290</v>
      </c>
      <c r="J46" s="11">
        <v>341</v>
      </c>
      <c r="K46" s="11">
        <v>369</v>
      </c>
      <c r="L46" t="str">
        <f t="shared" si="0"/>
        <v>Brazil_Guatemala</v>
      </c>
    </row>
    <row r="47" spans="1:12" x14ac:dyDescent="0.3">
      <c r="A47" s="9">
        <v>32036</v>
      </c>
      <c r="B47" s="10" t="s">
        <v>25</v>
      </c>
      <c r="C47" s="10"/>
      <c r="D47" s="10" t="s">
        <v>33</v>
      </c>
      <c r="E47" s="11">
        <v>280</v>
      </c>
      <c r="F47" s="11">
        <v>208</v>
      </c>
      <c r="G47" s="11">
        <v>136</v>
      </c>
      <c r="H47" s="11">
        <v>131</v>
      </c>
      <c r="I47" s="11">
        <v>126</v>
      </c>
      <c r="J47" s="11">
        <v>148</v>
      </c>
      <c r="K47" s="11">
        <v>160</v>
      </c>
      <c r="L47" t="str">
        <f t="shared" si="0"/>
        <v>Brazil_Honduras</v>
      </c>
    </row>
    <row r="48" spans="1:12" x14ac:dyDescent="0.3">
      <c r="A48" s="9">
        <v>32069</v>
      </c>
      <c r="B48" s="10" t="s">
        <v>25</v>
      </c>
      <c r="C48" s="10"/>
      <c r="D48" s="10" t="s">
        <v>34</v>
      </c>
      <c r="E48" s="11">
        <v>792</v>
      </c>
      <c r="F48" s="11">
        <v>1027</v>
      </c>
      <c r="G48" s="11">
        <v>1261</v>
      </c>
      <c r="H48" s="11">
        <v>1973</v>
      </c>
      <c r="I48" s="11">
        <v>2657</v>
      </c>
      <c r="J48" s="11">
        <v>3131</v>
      </c>
      <c r="K48" s="11">
        <v>3400</v>
      </c>
      <c r="L48" t="str">
        <f t="shared" si="0"/>
        <v>Brazil_Mexico</v>
      </c>
    </row>
    <row r="49" spans="1:12" x14ac:dyDescent="0.3">
      <c r="A49" s="9">
        <v>32079</v>
      </c>
      <c r="B49" s="10" t="s">
        <v>25</v>
      </c>
      <c r="C49" s="10"/>
      <c r="D49" s="10" t="s">
        <v>35</v>
      </c>
      <c r="E49" s="11">
        <v>329</v>
      </c>
      <c r="F49" s="11">
        <v>415</v>
      </c>
      <c r="G49" s="11">
        <v>501</v>
      </c>
      <c r="H49" s="11">
        <v>436</v>
      </c>
      <c r="I49" s="11">
        <v>365</v>
      </c>
      <c r="J49" s="11">
        <v>429</v>
      </c>
      <c r="K49" s="11">
        <v>465</v>
      </c>
      <c r="L49" t="str">
        <f t="shared" si="0"/>
        <v>Brazil_Nicaragua</v>
      </c>
    </row>
    <row r="50" spans="1:12" x14ac:dyDescent="0.3">
      <c r="A50" s="9">
        <v>32085</v>
      </c>
      <c r="B50" s="10" t="s">
        <v>25</v>
      </c>
      <c r="C50" s="10"/>
      <c r="D50" s="10" t="s">
        <v>36</v>
      </c>
      <c r="E50" s="11">
        <v>974</v>
      </c>
      <c r="F50" s="11">
        <v>767</v>
      </c>
      <c r="G50" s="11">
        <v>559</v>
      </c>
      <c r="H50" s="11">
        <v>541</v>
      </c>
      <c r="I50" s="11">
        <v>517</v>
      </c>
      <c r="J50" s="11">
        <v>608</v>
      </c>
      <c r="K50" s="11">
        <v>660</v>
      </c>
      <c r="L50" t="str">
        <f t="shared" si="0"/>
        <v>Brazil_Panama</v>
      </c>
    </row>
    <row r="51" spans="1:12" x14ac:dyDescent="0.3">
      <c r="A51" s="9">
        <v>32086</v>
      </c>
      <c r="B51" s="10" t="s">
        <v>25</v>
      </c>
      <c r="C51" s="10"/>
      <c r="D51" s="10" t="s">
        <v>37</v>
      </c>
      <c r="E51" s="11">
        <v>21394</v>
      </c>
      <c r="F51" s="11">
        <v>25143</v>
      </c>
      <c r="G51" s="11">
        <v>28891</v>
      </c>
      <c r="H51" s="11">
        <v>34146</v>
      </c>
      <c r="I51" s="11">
        <v>38916</v>
      </c>
      <c r="J51" s="11">
        <v>45874</v>
      </c>
      <c r="K51" s="11">
        <v>49842</v>
      </c>
      <c r="L51" t="str">
        <f t="shared" si="0"/>
        <v>Brazil_Paraguay</v>
      </c>
    </row>
    <row r="52" spans="1:12" x14ac:dyDescent="0.3">
      <c r="A52" s="9">
        <v>32087</v>
      </c>
      <c r="B52" s="10" t="s">
        <v>25</v>
      </c>
      <c r="C52" s="10"/>
      <c r="D52" s="10" t="s">
        <v>38</v>
      </c>
      <c r="E52" s="11">
        <v>5716</v>
      </c>
      <c r="F52" s="11">
        <v>8278</v>
      </c>
      <c r="G52" s="11">
        <v>10840</v>
      </c>
      <c r="H52" s="11">
        <v>12958</v>
      </c>
      <c r="I52" s="11">
        <v>14892</v>
      </c>
      <c r="J52" s="11">
        <v>17555</v>
      </c>
      <c r="K52" s="11">
        <v>19074</v>
      </c>
      <c r="L52" t="str">
        <f t="shared" si="0"/>
        <v>Brazil_Peru</v>
      </c>
    </row>
    <row r="53" spans="1:12" x14ac:dyDescent="0.3">
      <c r="A53" s="9">
        <v>32131</v>
      </c>
      <c r="B53" s="10" t="s">
        <v>25</v>
      </c>
      <c r="C53" s="10"/>
      <c r="D53" s="10" t="s">
        <v>16</v>
      </c>
      <c r="E53" s="11">
        <v>11806</v>
      </c>
      <c r="F53" s="11">
        <v>12894</v>
      </c>
      <c r="G53" s="11">
        <v>13981</v>
      </c>
      <c r="H53" s="11">
        <v>18779</v>
      </c>
      <c r="I53" s="11">
        <v>23311</v>
      </c>
      <c r="J53" s="11">
        <v>20626</v>
      </c>
      <c r="K53" s="11">
        <v>22410</v>
      </c>
      <c r="L53" t="str">
        <f t="shared" si="0"/>
        <v>Brazil_United States</v>
      </c>
    </row>
    <row r="54" spans="1:12" x14ac:dyDescent="0.3">
      <c r="A54" s="9">
        <v>32133</v>
      </c>
      <c r="B54" s="10" t="s">
        <v>25</v>
      </c>
      <c r="C54" s="10"/>
      <c r="D54" s="10" t="s">
        <v>39</v>
      </c>
      <c r="E54" s="11">
        <v>23363</v>
      </c>
      <c r="F54" s="11">
        <v>24081</v>
      </c>
      <c r="G54" s="11">
        <v>24799</v>
      </c>
      <c r="H54" s="11">
        <v>24495</v>
      </c>
      <c r="I54" s="11">
        <v>23843</v>
      </c>
      <c r="J54" s="11">
        <v>28106</v>
      </c>
      <c r="K54" s="11">
        <v>30537</v>
      </c>
      <c r="L54" t="str">
        <f t="shared" si="0"/>
        <v>Brazil_Uruguay</v>
      </c>
    </row>
    <row r="55" spans="1:12" x14ac:dyDescent="0.3">
      <c r="A55" s="9">
        <v>32135</v>
      </c>
      <c r="B55" s="10" t="s">
        <v>25</v>
      </c>
      <c r="C55" s="10"/>
      <c r="D55" s="10" t="s">
        <v>18</v>
      </c>
      <c r="E55" s="11">
        <v>1220</v>
      </c>
      <c r="F55" s="11">
        <v>1694</v>
      </c>
      <c r="G55" s="11">
        <v>2167</v>
      </c>
      <c r="H55" s="11">
        <v>2524</v>
      </c>
      <c r="I55" s="11">
        <v>2845</v>
      </c>
      <c r="J55" s="11">
        <v>3354</v>
      </c>
      <c r="K55" s="11">
        <v>248105</v>
      </c>
      <c r="L55" t="str">
        <f t="shared" si="0"/>
        <v>Brazil_Venezuela</v>
      </c>
    </row>
    <row r="56" spans="1:12" x14ac:dyDescent="0.3">
      <c r="A56" s="12">
        <v>33496</v>
      </c>
      <c r="B56" s="13" t="s">
        <v>26</v>
      </c>
      <c r="C56" s="13"/>
      <c r="D56" s="13" t="s">
        <v>24</v>
      </c>
      <c r="E56" s="14">
        <v>10660</v>
      </c>
      <c r="F56" s="14">
        <v>12036</v>
      </c>
      <c r="G56" s="14">
        <v>13698</v>
      </c>
      <c r="H56" s="14">
        <v>15923</v>
      </c>
      <c r="I56" s="14">
        <v>18870</v>
      </c>
      <c r="J56" s="14">
        <v>19310</v>
      </c>
      <c r="K56" s="14">
        <v>20921</v>
      </c>
      <c r="L56" t="str">
        <f t="shared" si="0"/>
        <v>Canada_Argentina</v>
      </c>
    </row>
    <row r="57" spans="1:12" x14ac:dyDescent="0.3">
      <c r="A57" s="12">
        <v>33507</v>
      </c>
      <c r="B57" s="13" t="s">
        <v>26</v>
      </c>
      <c r="C57" s="13"/>
      <c r="D57" s="13" t="s">
        <v>1</v>
      </c>
      <c r="E57" s="14">
        <v>1545</v>
      </c>
      <c r="F57" s="14">
        <v>1948</v>
      </c>
      <c r="G57" s="14">
        <v>2397</v>
      </c>
      <c r="H57" s="14">
        <v>3625</v>
      </c>
      <c r="I57" s="14">
        <v>4605</v>
      </c>
      <c r="J57" s="14">
        <v>4368</v>
      </c>
      <c r="K57" s="14">
        <v>4731</v>
      </c>
      <c r="L57" t="str">
        <f t="shared" si="0"/>
        <v>Canada_Bolivia</v>
      </c>
    </row>
    <row r="58" spans="1:12" x14ac:dyDescent="0.3">
      <c r="A58" s="12">
        <v>33510</v>
      </c>
      <c r="B58" s="13" t="s">
        <v>26</v>
      </c>
      <c r="C58" s="13"/>
      <c r="D58" s="13" t="s">
        <v>25</v>
      </c>
      <c r="E58" s="14">
        <v>7028</v>
      </c>
      <c r="F58" s="14">
        <v>10058</v>
      </c>
      <c r="G58" s="14">
        <v>13327</v>
      </c>
      <c r="H58" s="14">
        <v>19215</v>
      </c>
      <c r="I58" s="14">
        <v>22920</v>
      </c>
      <c r="J58" s="14">
        <v>29135</v>
      </c>
      <c r="K58" s="14">
        <v>31568</v>
      </c>
      <c r="L58" t="str">
        <f t="shared" si="0"/>
        <v>Canada_Brazil</v>
      </c>
    </row>
    <row r="59" spans="1:12" x14ac:dyDescent="0.3">
      <c r="A59" s="12">
        <v>33525</v>
      </c>
      <c r="B59" s="13" t="s">
        <v>26</v>
      </c>
      <c r="C59" s="13"/>
      <c r="D59" s="13" t="s">
        <v>27</v>
      </c>
      <c r="E59" s="14">
        <v>21945</v>
      </c>
      <c r="F59" s="14">
        <v>23182</v>
      </c>
      <c r="G59" s="14">
        <v>24970</v>
      </c>
      <c r="H59" s="14">
        <v>24756</v>
      </c>
      <c r="I59" s="14">
        <v>25195</v>
      </c>
      <c r="J59" s="14">
        <v>26541</v>
      </c>
      <c r="K59" s="14">
        <v>28757</v>
      </c>
      <c r="L59" t="str">
        <f t="shared" si="0"/>
        <v>Canada_Chile</v>
      </c>
    </row>
    <row r="60" spans="1:12" x14ac:dyDescent="0.3">
      <c r="A60" s="12">
        <v>33527</v>
      </c>
      <c r="B60" s="13" t="s">
        <v>26</v>
      </c>
      <c r="C60" s="13"/>
      <c r="D60" s="13" t="s">
        <v>28</v>
      </c>
      <c r="E60" s="14">
        <v>7547</v>
      </c>
      <c r="F60" s="14">
        <v>12595</v>
      </c>
      <c r="G60" s="14">
        <v>17942</v>
      </c>
      <c r="H60" s="14">
        <v>39330</v>
      </c>
      <c r="I60" s="14">
        <v>60555</v>
      </c>
      <c r="J60" s="14">
        <v>69610</v>
      </c>
      <c r="K60" s="14">
        <v>75425</v>
      </c>
      <c r="L60" t="str">
        <f t="shared" si="0"/>
        <v>Canada_Colombia</v>
      </c>
    </row>
    <row r="61" spans="1:12" x14ac:dyDescent="0.3">
      <c r="A61" s="12">
        <v>33531</v>
      </c>
      <c r="B61" s="13" t="s">
        <v>26</v>
      </c>
      <c r="C61" s="13"/>
      <c r="D61" s="13" t="s">
        <v>29</v>
      </c>
      <c r="E61" s="14">
        <v>1247</v>
      </c>
      <c r="F61" s="14">
        <v>1840</v>
      </c>
      <c r="G61" s="14">
        <v>2476</v>
      </c>
      <c r="H61" s="14">
        <v>3364</v>
      </c>
      <c r="I61" s="14">
        <v>4095</v>
      </c>
      <c r="J61" s="14">
        <v>3925</v>
      </c>
      <c r="K61" s="14">
        <v>4252</v>
      </c>
      <c r="L61" t="str">
        <f t="shared" si="0"/>
        <v>Canada_Costa Rica</v>
      </c>
    </row>
    <row r="62" spans="1:12" x14ac:dyDescent="0.3">
      <c r="A62" s="12">
        <v>33540</v>
      </c>
      <c r="B62" s="13" t="s">
        <v>26</v>
      </c>
      <c r="C62" s="13"/>
      <c r="D62" s="13" t="s">
        <v>30</v>
      </c>
      <c r="E62" s="14">
        <v>7685</v>
      </c>
      <c r="F62" s="14">
        <v>9362</v>
      </c>
      <c r="G62" s="14">
        <v>11261</v>
      </c>
      <c r="H62" s="14">
        <v>12238</v>
      </c>
      <c r="I62" s="14">
        <v>13635</v>
      </c>
      <c r="J62" s="14">
        <v>14873</v>
      </c>
      <c r="K62" s="14">
        <v>16115</v>
      </c>
      <c r="L62" t="str">
        <f t="shared" si="0"/>
        <v>Canada_Ecuador</v>
      </c>
    </row>
    <row r="63" spans="1:12" x14ac:dyDescent="0.3">
      <c r="A63" s="12">
        <v>33541</v>
      </c>
      <c r="B63" s="13" t="s">
        <v>26</v>
      </c>
      <c r="C63" s="13"/>
      <c r="D63" s="13" t="s">
        <v>31</v>
      </c>
      <c r="E63" s="14">
        <v>27145</v>
      </c>
      <c r="F63" s="14">
        <v>32598</v>
      </c>
      <c r="G63" s="14">
        <v>38826</v>
      </c>
      <c r="H63" s="14">
        <v>39970</v>
      </c>
      <c r="I63" s="14">
        <v>43655</v>
      </c>
      <c r="J63" s="14">
        <v>47785</v>
      </c>
      <c r="K63" s="14">
        <v>51776</v>
      </c>
      <c r="L63" t="str">
        <f t="shared" si="0"/>
        <v>Canada_El Salvador</v>
      </c>
    </row>
    <row r="64" spans="1:12" x14ac:dyDescent="0.3">
      <c r="A64" s="12">
        <v>33562</v>
      </c>
      <c r="B64" s="13" t="s">
        <v>26</v>
      </c>
      <c r="C64" s="13"/>
      <c r="D64" s="13" t="s">
        <v>32</v>
      </c>
      <c r="E64" s="14">
        <v>8559</v>
      </c>
      <c r="F64" s="14">
        <v>11127</v>
      </c>
      <c r="G64" s="14">
        <v>13960</v>
      </c>
      <c r="H64" s="14">
        <v>14401</v>
      </c>
      <c r="I64" s="14">
        <v>15285</v>
      </c>
      <c r="J64" s="14">
        <v>17169</v>
      </c>
      <c r="K64" s="14">
        <v>18602</v>
      </c>
      <c r="L64" t="str">
        <f t="shared" si="0"/>
        <v>Canada_Guatemala</v>
      </c>
    </row>
    <row r="65" spans="1:12" x14ac:dyDescent="0.3">
      <c r="A65" s="12">
        <v>33566</v>
      </c>
      <c r="B65" s="13" t="s">
        <v>26</v>
      </c>
      <c r="C65" s="13"/>
      <c r="D65" s="13" t="s">
        <v>33</v>
      </c>
      <c r="E65" s="14">
        <v>2202</v>
      </c>
      <c r="F65" s="14">
        <v>3293</v>
      </c>
      <c r="G65" s="14">
        <v>4462</v>
      </c>
      <c r="H65" s="14">
        <v>5243</v>
      </c>
      <c r="I65" s="14">
        <v>5805</v>
      </c>
      <c r="J65" s="14">
        <v>7737</v>
      </c>
      <c r="K65" s="14">
        <v>8382</v>
      </c>
      <c r="L65" t="str">
        <f t="shared" si="0"/>
        <v>Canada_Honduras</v>
      </c>
    </row>
    <row r="66" spans="1:12" x14ac:dyDescent="0.3">
      <c r="A66" s="12">
        <v>33604</v>
      </c>
      <c r="B66" s="13" t="s">
        <v>26</v>
      </c>
      <c r="C66" s="13"/>
      <c r="D66" s="13" t="s">
        <v>34</v>
      </c>
      <c r="E66" s="14">
        <v>18610</v>
      </c>
      <c r="F66" s="14">
        <v>30113</v>
      </c>
      <c r="G66" s="14">
        <v>42332</v>
      </c>
      <c r="H66" s="14">
        <v>61186</v>
      </c>
      <c r="I66" s="14">
        <v>69695</v>
      </c>
      <c r="J66" s="14">
        <v>80090</v>
      </c>
      <c r="K66" s="14">
        <v>86780</v>
      </c>
      <c r="L66" t="str">
        <f t="shared" si="0"/>
        <v>Canada_Mexico</v>
      </c>
    </row>
    <row r="67" spans="1:12" x14ac:dyDescent="0.3">
      <c r="A67" s="12">
        <v>33622</v>
      </c>
      <c r="B67" s="13" t="s">
        <v>26</v>
      </c>
      <c r="C67" s="13"/>
      <c r="D67" s="13" t="s">
        <v>35</v>
      </c>
      <c r="E67" s="14">
        <v>6199</v>
      </c>
      <c r="F67" s="14">
        <v>7730</v>
      </c>
      <c r="G67" s="14">
        <v>9444</v>
      </c>
      <c r="H67" s="14">
        <v>8894</v>
      </c>
      <c r="I67" s="14">
        <v>8945</v>
      </c>
      <c r="J67" s="14">
        <v>9809</v>
      </c>
      <c r="K67" s="14">
        <v>10627</v>
      </c>
      <c r="L67" t="str">
        <f t="shared" ref="L67:L130" si="1">TRIM(B67)&amp;"_"&amp;TRIM(D67)</f>
        <v>Canada_Nicaragua</v>
      </c>
    </row>
    <row r="68" spans="1:12" x14ac:dyDescent="0.3">
      <c r="A68" s="12">
        <v>33627</v>
      </c>
      <c r="B68" s="13" t="s">
        <v>26</v>
      </c>
      <c r="C68" s="13"/>
      <c r="D68" s="13" t="s">
        <v>36</v>
      </c>
      <c r="E68" s="14">
        <v>1118</v>
      </c>
      <c r="F68" s="14">
        <v>1785</v>
      </c>
      <c r="G68" s="14">
        <v>2495</v>
      </c>
      <c r="H68" s="14">
        <v>2458</v>
      </c>
      <c r="I68" s="14">
        <v>2445</v>
      </c>
      <c r="J68" s="14">
        <v>2598</v>
      </c>
      <c r="K68" s="14">
        <v>2814</v>
      </c>
      <c r="L68" t="str">
        <f t="shared" si="1"/>
        <v>Canada_Panama</v>
      </c>
    </row>
    <row r="69" spans="1:12" x14ac:dyDescent="0.3">
      <c r="A69" s="12">
        <v>33629</v>
      </c>
      <c r="B69" s="13" t="s">
        <v>26</v>
      </c>
      <c r="C69" s="13"/>
      <c r="D69" s="13" t="s">
        <v>37</v>
      </c>
      <c r="E69" s="14">
        <v>4702</v>
      </c>
      <c r="F69" s="14">
        <v>4780</v>
      </c>
      <c r="G69" s="14">
        <v>4972</v>
      </c>
      <c r="H69" s="14">
        <v>6040</v>
      </c>
      <c r="I69" s="14">
        <v>7110</v>
      </c>
      <c r="J69" s="14">
        <v>7255</v>
      </c>
      <c r="K69" s="14">
        <v>7859</v>
      </c>
      <c r="L69" t="str">
        <f t="shared" si="1"/>
        <v>Canada_Paraguay</v>
      </c>
    </row>
    <row r="70" spans="1:12" x14ac:dyDescent="0.3">
      <c r="A70" s="12">
        <v>33630</v>
      </c>
      <c r="B70" s="13" t="s">
        <v>26</v>
      </c>
      <c r="C70" s="13"/>
      <c r="D70" s="13" t="s">
        <v>38</v>
      </c>
      <c r="E70" s="14">
        <v>11010</v>
      </c>
      <c r="F70" s="14">
        <v>14301</v>
      </c>
      <c r="G70" s="14">
        <v>17932</v>
      </c>
      <c r="H70" s="14">
        <v>21778</v>
      </c>
      <c r="I70" s="14">
        <v>26715</v>
      </c>
      <c r="J70" s="14">
        <v>29433</v>
      </c>
      <c r="K70" s="14">
        <v>31890</v>
      </c>
      <c r="L70" t="str">
        <f t="shared" si="1"/>
        <v>Canada_Peru</v>
      </c>
    </row>
    <row r="71" spans="1:12" x14ac:dyDescent="0.3">
      <c r="A71" s="12">
        <v>33682</v>
      </c>
      <c r="B71" s="13" t="s">
        <v>26</v>
      </c>
      <c r="C71" s="13"/>
      <c r="D71" s="13" t="s">
        <v>16</v>
      </c>
      <c r="E71" s="14">
        <v>238998</v>
      </c>
      <c r="F71" s="14">
        <v>244567</v>
      </c>
      <c r="G71" s="14">
        <v>255952</v>
      </c>
      <c r="H71" s="14">
        <v>273338</v>
      </c>
      <c r="I71" s="14">
        <v>263470</v>
      </c>
      <c r="J71" s="14">
        <v>252159</v>
      </c>
      <c r="K71" s="14">
        <v>273226</v>
      </c>
      <c r="L71" t="str">
        <f t="shared" si="1"/>
        <v>Canada_United States</v>
      </c>
    </row>
    <row r="72" spans="1:12" x14ac:dyDescent="0.3">
      <c r="A72" s="12">
        <v>33685</v>
      </c>
      <c r="B72" s="13" t="s">
        <v>26</v>
      </c>
      <c r="C72" s="13"/>
      <c r="D72" s="13" t="s">
        <v>39</v>
      </c>
      <c r="E72" s="14">
        <v>5033</v>
      </c>
      <c r="F72" s="14">
        <v>5570</v>
      </c>
      <c r="G72" s="14">
        <v>6240</v>
      </c>
      <c r="H72" s="14">
        <v>6280</v>
      </c>
      <c r="I72" s="14">
        <v>6600</v>
      </c>
      <c r="J72" s="14">
        <v>6494</v>
      </c>
      <c r="K72" s="14">
        <v>7036</v>
      </c>
      <c r="L72" t="str">
        <f t="shared" si="1"/>
        <v>Canada_Uruguay</v>
      </c>
    </row>
    <row r="73" spans="1:12" x14ac:dyDescent="0.3">
      <c r="A73" s="12">
        <v>33687</v>
      </c>
      <c r="B73" s="13" t="s">
        <v>26</v>
      </c>
      <c r="C73" s="13"/>
      <c r="D73" s="13" t="s">
        <v>18</v>
      </c>
      <c r="E73" s="14">
        <v>3339</v>
      </c>
      <c r="F73" s="14">
        <v>5582</v>
      </c>
      <c r="G73" s="14">
        <v>7958</v>
      </c>
      <c r="H73" s="14">
        <v>12434</v>
      </c>
      <c r="I73" s="14">
        <v>16005</v>
      </c>
      <c r="J73" s="14">
        <v>20652</v>
      </c>
      <c r="K73" s="14">
        <v>22375</v>
      </c>
      <c r="L73" t="str">
        <f t="shared" si="1"/>
        <v>Canada_Venezuela</v>
      </c>
    </row>
    <row r="74" spans="1:12" x14ac:dyDescent="0.3">
      <c r="A74" s="12">
        <v>32185</v>
      </c>
      <c r="B74" s="13" t="s">
        <v>27</v>
      </c>
      <c r="C74" s="12"/>
      <c r="D74" s="13" t="s">
        <v>24</v>
      </c>
      <c r="E74" s="14">
        <v>32696</v>
      </c>
      <c r="F74" s="14">
        <v>39251</v>
      </c>
      <c r="G74" s="14">
        <v>45770</v>
      </c>
      <c r="H74" s="14">
        <v>50740</v>
      </c>
      <c r="I74" s="14">
        <v>55685</v>
      </c>
      <c r="J74" s="14">
        <v>56363</v>
      </c>
      <c r="K74" s="14">
        <v>79253</v>
      </c>
      <c r="L74" t="str">
        <f t="shared" si="1"/>
        <v>Chile_Argentina</v>
      </c>
    </row>
    <row r="75" spans="1:12" x14ac:dyDescent="0.3">
      <c r="A75" s="12">
        <v>32186</v>
      </c>
      <c r="B75" s="13" t="s">
        <v>27</v>
      </c>
      <c r="C75" s="12"/>
      <c r="D75" s="13" t="s">
        <v>1</v>
      </c>
      <c r="E75" s="14">
        <v>7277</v>
      </c>
      <c r="F75" s="14">
        <v>8926</v>
      </c>
      <c r="G75" s="14">
        <v>10568</v>
      </c>
      <c r="H75" s="14">
        <v>17859</v>
      </c>
      <c r="I75" s="14">
        <v>25143</v>
      </c>
      <c r="J75" s="14">
        <v>53244</v>
      </c>
      <c r="K75" s="14">
        <v>128782</v>
      </c>
      <c r="L75" t="str">
        <f t="shared" si="1"/>
        <v>Chile_Bolivia</v>
      </c>
    </row>
    <row r="76" spans="1:12" x14ac:dyDescent="0.3">
      <c r="A76" s="12">
        <v>32187</v>
      </c>
      <c r="B76" s="13" t="s">
        <v>27</v>
      </c>
      <c r="C76" s="12"/>
      <c r="D76" s="13" t="s">
        <v>25</v>
      </c>
      <c r="E76" s="14">
        <v>4332</v>
      </c>
      <c r="F76" s="14">
        <v>5611</v>
      </c>
      <c r="G76" s="14">
        <v>6886</v>
      </c>
      <c r="H76" s="14">
        <v>8477</v>
      </c>
      <c r="I76" s="14">
        <v>10065</v>
      </c>
      <c r="J76" s="14">
        <v>15247</v>
      </c>
      <c r="K76" s="14">
        <v>18976</v>
      </c>
      <c r="L76" t="str">
        <f t="shared" si="1"/>
        <v>Chile_Brazil</v>
      </c>
    </row>
    <row r="77" spans="1:12" x14ac:dyDescent="0.3">
      <c r="A77" s="12">
        <v>32189</v>
      </c>
      <c r="B77" s="13" t="s">
        <v>27</v>
      </c>
      <c r="C77" s="12"/>
      <c r="D77" s="13" t="s">
        <v>28</v>
      </c>
      <c r="E77" s="14">
        <v>1554</v>
      </c>
      <c r="F77" s="14">
        <v>2734</v>
      </c>
      <c r="G77" s="14">
        <v>3913</v>
      </c>
      <c r="H77" s="14">
        <v>9159</v>
      </c>
      <c r="I77" s="14">
        <v>14401</v>
      </c>
      <c r="J77" s="14">
        <v>73601</v>
      </c>
      <c r="K77" s="14">
        <v>173487</v>
      </c>
      <c r="L77" t="str">
        <f t="shared" si="1"/>
        <v>Chile_Colombia</v>
      </c>
    </row>
    <row r="78" spans="1:12" x14ac:dyDescent="0.3">
      <c r="A78" s="12">
        <v>32192</v>
      </c>
      <c r="B78" s="13" t="s">
        <v>27</v>
      </c>
      <c r="C78" s="12"/>
      <c r="D78" s="13" t="s">
        <v>30</v>
      </c>
      <c r="E78" s="14">
        <v>2163</v>
      </c>
      <c r="F78" s="14">
        <v>5512</v>
      </c>
      <c r="G78" s="14">
        <v>8857</v>
      </c>
      <c r="H78" s="14">
        <v>13414</v>
      </c>
      <c r="I78" s="14">
        <v>17966</v>
      </c>
      <c r="J78" s="14">
        <v>22146</v>
      </c>
      <c r="K78" s="14">
        <v>42266</v>
      </c>
      <c r="L78" t="str">
        <f t="shared" si="1"/>
        <v>Chile_Ecuador</v>
      </c>
    </row>
    <row r="79" spans="1:12" x14ac:dyDescent="0.3">
      <c r="A79" s="12">
        <v>32197</v>
      </c>
      <c r="B79" s="13" t="s">
        <v>27</v>
      </c>
      <c r="C79" s="12"/>
      <c r="D79" s="13" t="s">
        <v>34</v>
      </c>
      <c r="E79" s="14">
        <v>746</v>
      </c>
      <c r="F79" s="14">
        <v>1223</v>
      </c>
      <c r="G79" s="14">
        <v>1700</v>
      </c>
      <c r="H79" s="14">
        <v>2552</v>
      </c>
      <c r="I79" s="14">
        <v>3403</v>
      </c>
      <c r="J79" s="14">
        <v>5155</v>
      </c>
      <c r="K79" s="14">
        <v>10558</v>
      </c>
      <c r="L79" t="str">
        <f t="shared" si="1"/>
        <v>Chile_Mexico</v>
      </c>
    </row>
    <row r="80" spans="1:12" x14ac:dyDescent="0.3">
      <c r="A80" s="12">
        <v>32198</v>
      </c>
      <c r="B80" s="13" t="s">
        <v>27</v>
      </c>
      <c r="C80" s="12"/>
      <c r="D80" s="13" t="s">
        <v>37</v>
      </c>
      <c r="E80" s="14">
        <v>641</v>
      </c>
      <c r="F80" s="14">
        <v>919</v>
      </c>
      <c r="G80" s="14">
        <v>1198</v>
      </c>
      <c r="H80" s="14">
        <v>1798</v>
      </c>
      <c r="I80" s="14">
        <v>2398</v>
      </c>
      <c r="J80" s="14">
        <v>3632</v>
      </c>
      <c r="K80" s="14">
        <v>6045</v>
      </c>
      <c r="L80" t="str">
        <f t="shared" si="1"/>
        <v>Chile_Paraguay</v>
      </c>
    </row>
    <row r="81" spans="1:12" x14ac:dyDescent="0.3">
      <c r="A81" s="12">
        <v>32199</v>
      </c>
      <c r="B81" s="13" t="s">
        <v>27</v>
      </c>
      <c r="C81" s="12"/>
      <c r="D81" s="13" t="s">
        <v>38</v>
      </c>
      <c r="E81" s="14">
        <v>7052</v>
      </c>
      <c r="F81" s="14">
        <v>21265</v>
      </c>
      <c r="G81" s="14">
        <v>35460</v>
      </c>
      <c r="H81" s="14">
        <v>80085</v>
      </c>
      <c r="I81" s="14">
        <v>124672</v>
      </c>
      <c r="J81" s="14">
        <v>150885</v>
      </c>
      <c r="K81" s="14">
        <v>240273</v>
      </c>
      <c r="L81" t="str">
        <f t="shared" si="1"/>
        <v>Chile_Peru</v>
      </c>
    </row>
    <row r="82" spans="1:12" x14ac:dyDescent="0.3">
      <c r="A82" s="12">
        <v>32201</v>
      </c>
      <c r="B82" s="13" t="s">
        <v>27</v>
      </c>
      <c r="C82" s="12"/>
      <c r="D82" s="13" t="s">
        <v>16</v>
      </c>
      <c r="E82" s="14">
        <v>5650</v>
      </c>
      <c r="F82" s="14">
        <v>6770</v>
      </c>
      <c r="G82" s="14">
        <v>7884</v>
      </c>
      <c r="H82" s="14">
        <v>8953</v>
      </c>
      <c r="I82" s="14">
        <v>10019</v>
      </c>
      <c r="J82" s="14">
        <v>15178</v>
      </c>
      <c r="K82" s="14">
        <v>17015</v>
      </c>
      <c r="L82" t="str">
        <f t="shared" si="1"/>
        <v>Chile_United States</v>
      </c>
    </row>
    <row r="83" spans="1:12" x14ac:dyDescent="0.3">
      <c r="A83" s="12">
        <v>32202</v>
      </c>
      <c r="B83" s="13" t="s">
        <v>27</v>
      </c>
      <c r="C83" s="12"/>
      <c r="D83" s="13" t="s">
        <v>39</v>
      </c>
      <c r="E83" s="14">
        <v>1393</v>
      </c>
      <c r="F83" s="14">
        <v>1816</v>
      </c>
      <c r="G83" s="14">
        <v>2238</v>
      </c>
      <c r="H83" s="14">
        <v>3359</v>
      </c>
      <c r="I83" s="14">
        <v>4480</v>
      </c>
      <c r="J83" s="14">
        <v>6786</v>
      </c>
      <c r="K83" s="14">
        <v>5652</v>
      </c>
      <c r="L83" t="str">
        <f t="shared" si="1"/>
        <v>Chile_Uruguay</v>
      </c>
    </row>
    <row r="84" spans="1:12" x14ac:dyDescent="0.3">
      <c r="A84" s="12">
        <v>32203</v>
      </c>
      <c r="B84" s="13" t="s">
        <v>27</v>
      </c>
      <c r="C84" s="12"/>
      <c r="D84" s="13" t="s">
        <v>18</v>
      </c>
      <c r="E84" s="14">
        <v>2349</v>
      </c>
      <c r="F84" s="14">
        <v>3197</v>
      </c>
      <c r="G84" s="14">
        <v>4044</v>
      </c>
      <c r="H84" s="14">
        <v>6070</v>
      </c>
      <c r="I84" s="14">
        <v>8095</v>
      </c>
      <c r="J84" s="14">
        <v>54787</v>
      </c>
      <c r="K84" s="14">
        <v>523553</v>
      </c>
      <c r="L84" t="str">
        <f t="shared" si="1"/>
        <v>Chile_Venezuela</v>
      </c>
    </row>
    <row r="85" spans="1:12" x14ac:dyDescent="0.3">
      <c r="A85" s="9">
        <v>32253</v>
      </c>
      <c r="B85" s="10" t="s">
        <v>28</v>
      </c>
      <c r="C85" s="9"/>
      <c r="D85" s="15" t="s">
        <v>24</v>
      </c>
      <c r="E85" s="16">
        <v>2359</v>
      </c>
      <c r="F85" s="16">
        <v>2471</v>
      </c>
      <c r="G85" s="16">
        <v>2582</v>
      </c>
      <c r="H85" s="16">
        <v>2540</v>
      </c>
      <c r="I85" s="16">
        <v>3386</v>
      </c>
      <c r="J85" s="16">
        <v>4464</v>
      </c>
      <c r="K85" s="16">
        <v>5719</v>
      </c>
      <c r="L85" t="str">
        <f t="shared" si="1"/>
        <v>Colombia_Argentina</v>
      </c>
    </row>
    <row r="86" spans="1:12" x14ac:dyDescent="0.3">
      <c r="A86" s="9">
        <v>32254</v>
      </c>
      <c r="B86" s="10" t="s">
        <v>28</v>
      </c>
      <c r="C86" s="9"/>
      <c r="D86" s="15" t="s">
        <v>1</v>
      </c>
      <c r="E86" s="16">
        <v>634</v>
      </c>
      <c r="F86" s="16">
        <v>653</v>
      </c>
      <c r="G86" s="16">
        <v>671</v>
      </c>
      <c r="H86" s="16">
        <v>652</v>
      </c>
      <c r="I86" s="16">
        <v>795</v>
      </c>
      <c r="J86" s="16">
        <v>958</v>
      </c>
      <c r="K86" s="16">
        <v>1129</v>
      </c>
      <c r="L86" t="str">
        <f t="shared" si="1"/>
        <v>Colombia_Bolivia</v>
      </c>
    </row>
    <row r="87" spans="1:12" x14ac:dyDescent="0.3">
      <c r="A87" s="9">
        <v>32255</v>
      </c>
      <c r="B87" s="10" t="s">
        <v>28</v>
      </c>
      <c r="C87" s="9"/>
      <c r="D87" s="15" t="s">
        <v>25</v>
      </c>
      <c r="E87" s="16">
        <v>1728</v>
      </c>
      <c r="F87" s="16">
        <v>1809</v>
      </c>
      <c r="G87" s="16">
        <v>1889</v>
      </c>
      <c r="H87" s="16">
        <v>1854</v>
      </c>
      <c r="I87" s="16">
        <v>2570</v>
      </c>
      <c r="J87" s="16">
        <v>3525</v>
      </c>
      <c r="K87" s="16">
        <v>4685</v>
      </c>
      <c r="L87" t="str">
        <f t="shared" si="1"/>
        <v>Colombia_Brazil</v>
      </c>
    </row>
    <row r="88" spans="1:12" x14ac:dyDescent="0.3">
      <c r="A88" s="9">
        <v>32256</v>
      </c>
      <c r="B88" s="10" t="s">
        <v>28</v>
      </c>
      <c r="C88" s="9"/>
      <c r="D88" s="15" t="s">
        <v>26</v>
      </c>
      <c r="E88" s="16">
        <v>682</v>
      </c>
      <c r="F88" s="16">
        <v>731</v>
      </c>
      <c r="G88" s="16">
        <v>780</v>
      </c>
      <c r="H88" s="16">
        <v>782</v>
      </c>
      <c r="I88" s="16">
        <v>1033</v>
      </c>
      <c r="J88" s="16">
        <v>1350</v>
      </c>
      <c r="K88" s="16">
        <v>1715</v>
      </c>
      <c r="L88" t="str">
        <f t="shared" si="1"/>
        <v>Colombia_Canada</v>
      </c>
    </row>
    <row r="89" spans="1:12" x14ac:dyDescent="0.3">
      <c r="A89" s="9">
        <v>32257</v>
      </c>
      <c r="B89" s="10" t="s">
        <v>28</v>
      </c>
      <c r="C89" s="9"/>
      <c r="D89" s="15" t="s">
        <v>27</v>
      </c>
      <c r="E89" s="16">
        <v>1859</v>
      </c>
      <c r="F89" s="16">
        <v>1810</v>
      </c>
      <c r="G89" s="16">
        <v>1761</v>
      </c>
      <c r="H89" s="16">
        <v>1604</v>
      </c>
      <c r="I89" s="16">
        <v>2344</v>
      </c>
      <c r="J89" s="16">
        <v>3388</v>
      </c>
      <c r="K89" s="16">
        <v>4732</v>
      </c>
      <c r="L89" t="str">
        <f t="shared" si="1"/>
        <v>Colombia_Chile</v>
      </c>
    </row>
    <row r="90" spans="1:12" x14ac:dyDescent="0.3">
      <c r="A90" s="9">
        <v>32259</v>
      </c>
      <c r="B90" s="10" t="s">
        <v>28</v>
      </c>
      <c r="C90" s="9"/>
      <c r="D90" s="15" t="s">
        <v>29</v>
      </c>
      <c r="E90" s="16">
        <v>691</v>
      </c>
      <c r="F90" s="16">
        <v>757</v>
      </c>
      <c r="G90" s="16">
        <v>822</v>
      </c>
      <c r="H90" s="16">
        <v>839</v>
      </c>
      <c r="I90" s="16">
        <v>1106</v>
      </c>
      <c r="J90" s="16">
        <v>1442</v>
      </c>
      <c r="K90" s="16">
        <v>1828</v>
      </c>
      <c r="L90" t="str">
        <f t="shared" si="1"/>
        <v>Colombia_Costa Rica</v>
      </c>
    </row>
    <row r="91" spans="1:12" x14ac:dyDescent="0.3">
      <c r="A91" s="9">
        <v>32262</v>
      </c>
      <c r="B91" s="10" t="s">
        <v>28</v>
      </c>
      <c r="C91" s="9"/>
      <c r="D91" s="15" t="s">
        <v>30</v>
      </c>
      <c r="E91" s="16">
        <v>11870</v>
      </c>
      <c r="F91" s="16">
        <v>11917</v>
      </c>
      <c r="G91" s="16">
        <v>11964</v>
      </c>
      <c r="H91" s="16">
        <v>11337</v>
      </c>
      <c r="I91" s="16">
        <v>13707</v>
      </c>
      <c r="J91" s="16">
        <v>16397</v>
      </c>
      <c r="K91" s="16">
        <v>19180</v>
      </c>
      <c r="L91" t="str">
        <f t="shared" si="1"/>
        <v>Colombia_Ecuador</v>
      </c>
    </row>
    <row r="92" spans="1:12" x14ac:dyDescent="0.3">
      <c r="A92" s="9">
        <v>32263</v>
      </c>
      <c r="B92" s="10" t="s">
        <v>28</v>
      </c>
      <c r="C92" s="9"/>
      <c r="D92" s="15" t="s">
        <v>31</v>
      </c>
      <c r="E92" s="16">
        <v>297</v>
      </c>
      <c r="F92" s="16">
        <v>306</v>
      </c>
      <c r="G92" s="16">
        <v>315</v>
      </c>
      <c r="H92" s="16">
        <v>305</v>
      </c>
      <c r="I92" s="16">
        <v>425</v>
      </c>
      <c r="J92" s="16">
        <v>586</v>
      </c>
      <c r="K92" s="16">
        <v>782</v>
      </c>
      <c r="L92" t="str">
        <f t="shared" si="1"/>
        <v>Colombia_El Salvador</v>
      </c>
    </row>
    <row r="93" spans="1:12" x14ac:dyDescent="0.3">
      <c r="A93" s="9">
        <v>32266</v>
      </c>
      <c r="B93" s="10" t="s">
        <v>28</v>
      </c>
      <c r="C93" s="9"/>
      <c r="D93" s="15" t="s">
        <v>32</v>
      </c>
      <c r="E93" s="16">
        <v>264</v>
      </c>
      <c r="F93" s="16">
        <v>305</v>
      </c>
      <c r="G93" s="16">
        <v>346</v>
      </c>
      <c r="H93" s="16">
        <v>365</v>
      </c>
      <c r="I93" s="16">
        <v>494</v>
      </c>
      <c r="J93" s="16">
        <v>661</v>
      </c>
      <c r="K93" s="16">
        <v>857</v>
      </c>
      <c r="L93" t="str">
        <f t="shared" si="1"/>
        <v>Colombia_Guatemala</v>
      </c>
    </row>
    <row r="94" spans="1:12" x14ac:dyDescent="0.3">
      <c r="A94" s="9">
        <v>32267</v>
      </c>
      <c r="B94" s="10" t="s">
        <v>28</v>
      </c>
      <c r="C94" s="9"/>
      <c r="D94" s="15" t="s">
        <v>33</v>
      </c>
      <c r="E94" s="16">
        <v>265</v>
      </c>
      <c r="F94" s="16">
        <v>276</v>
      </c>
      <c r="G94" s="16">
        <v>286</v>
      </c>
      <c r="H94" s="16">
        <v>280</v>
      </c>
      <c r="I94" s="16">
        <v>384</v>
      </c>
      <c r="J94" s="16">
        <v>523</v>
      </c>
      <c r="K94" s="16">
        <v>690</v>
      </c>
      <c r="L94" t="str">
        <f t="shared" si="1"/>
        <v>Colombia_Honduras</v>
      </c>
    </row>
    <row r="95" spans="1:12" x14ac:dyDescent="0.3">
      <c r="A95" s="9">
        <v>32270</v>
      </c>
      <c r="B95" s="10" t="s">
        <v>28</v>
      </c>
      <c r="C95" s="9"/>
      <c r="D95" s="15" t="s">
        <v>34</v>
      </c>
      <c r="E95" s="16">
        <v>1908</v>
      </c>
      <c r="F95" s="16">
        <v>2072</v>
      </c>
      <c r="G95" s="16">
        <v>2236</v>
      </c>
      <c r="H95" s="16">
        <v>2264</v>
      </c>
      <c r="I95" s="16">
        <v>3125</v>
      </c>
      <c r="J95" s="16">
        <v>4265</v>
      </c>
      <c r="K95" s="16">
        <v>5641</v>
      </c>
      <c r="L95" t="str">
        <f t="shared" si="1"/>
        <v>Colombia_Mexico</v>
      </c>
    </row>
    <row r="96" spans="1:12" x14ac:dyDescent="0.3">
      <c r="A96" s="9">
        <v>32272</v>
      </c>
      <c r="B96" s="10" t="s">
        <v>28</v>
      </c>
      <c r="C96" s="9"/>
      <c r="D96" s="15" t="s">
        <v>36</v>
      </c>
      <c r="E96" s="16">
        <v>2073</v>
      </c>
      <c r="F96" s="16">
        <v>1966</v>
      </c>
      <c r="G96" s="16">
        <v>1858</v>
      </c>
      <c r="H96" s="16">
        <v>1645</v>
      </c>
      <c r="I96" s="16">
        <v>2068</v>
      </c>
      <c r="J96" s="16">
        <v>2573</v>
      </c>
      <c r="K96" s="16">
        <v>3123</v>
      </c>
      <c r="L96" t="str">
        <f t="shared" si="1"/>
        <v>Colombia_Panama</v>
      </c>
    </row>
    <row r="97" spans="1:12" x14ac:dyDescent="0.3">
      <c r="A97" s="9">
        <v>32273</v>
      </c>
      <c r="B97" s="10" t="s">
        <v>28</v>
      </c>
      <c r="C97" s="9"/>
      <c r="D97" s="15" t="s">
        <v>38</v>
      </c>
      <c r="E97" s="16">
        <v>2896</v>
      </c>
      <c r="F97" s="16">
        <v>3342</v>
      </c>
      <c r="G97" s="16">
        <v>3788</v>
      </c>
      <c r="H97" s="16">
        <v>4026</v>
      </c>
      <c r="I97" s="16">
        <v>4575</v>
      </c>
      <c r="J97" s="16">
        <v>5144</v>
      </c>
      <c r="K97" s="16">
        <v>5680</v>
      </c>
      <c r="L97" t="str">
        <f t="shared" si="1"/>
        <v>Colombia_Peru</v>
      </c>
    </row>
    <row r="98" spans="1:12" x14ac:dyDescent="0.3">
      <c r="A98" s="9">
        <v>32278</v>
      </c>
      <c r="B98" s="10" t="s">
        <v>28</v>
      </c>
      <c r="C98" s="9"/>
      <c r="D98" s="15" t="s">
        <v>16</v>
      </c>
      <c r="E98" s="16">
        <v>13478</v>
      </c>
      <c r="F98" s="16">
        <v>14273</v>
      </c>
      <c r="G98" s="16">
        <v>15068</v>
      </c>
      <c r="H98" s="16">
        <v>15039</v>
      </c>
      <c r="I98" s="16">
        <v>16977</v>
      </c>
      <c r="J98" s="16">
        <v>18963</v>
      </c>
      <c r="K98" s="16">
        <v>20810</v>
      </c>
      <c r="L98" t="str">
        <f t="shared" si="1"/>
        <v>Colombia_United States</v>
      </c>
    </row>
    <row r="99" spans="1:12" x14ac:dyDescent="0.3">
      <c r="A99" s="9">
        <v>32279</v>
      </c>
      <c r="B99" s="10" t="s">
        <v>28</v>
      </c>
      <c r="C99" s="9"/>
      <c r="D99" s="15" t="s">
        <v>39</v>
      </c>
      <c r="E99" s="16">
        <v>360</v>
      </c>
      <c r="F99" s="16">
        <v>362</v>
      </c>
      <c r="G99" s="16">
        <v>364</v>
      </c>
      <c r="H99" s="16">
        <v>345</v>
      </c>
      <c r="I99" s="16">
        <v>436</v>
      </c>
      <c r="J99" s="16">
        <v>544</v>
      </c>
      <c r="K99" s="16">
        <v>662</v>
      </c>
      <c r="L99" t="str">
        <f t="shared" si="1"/>
        <v>Colombia_Uruguay</v>
      </c>
    </row>
    <row r="100" spans="1:12" x14ac:dyDescent="0.3">
      <c r="A100" s="9">
        <v>32280</v>
      </c>
      <c r="B100" s="10" t="s">
        <v>28</v>
      </c>
      <c r="C100" s="9"/>
      <c r="D100" s="15" t="s">
        <v>18</v>
      </c>
      <c r="E100" s="16">
        <v>33123</v>
      </c>
      <c r="F100" s="16">
        <v>35162</v>
      </c>
      <c r="G100" s="16">
        <v>37200</v>
      </c>
      <c r="H100" s="16">
        <v>37353</v>
      </c>
      <c r="I100" s="16">
        <v>45692</v>
      </c>
      <c r="J100" s="16">
        <v>55893</v>
      </c>
      <c r="K100" s="16">
        <v>1780486</v>
      </c>
      <c r="L100" t="str">
        <f t="shared" si="1"/>
        <v>Colombia_Venezuela</v>
      </c>
    </row>
    <row r="101" spans="1:12" x14ac:dyDescent="0.3">
      <c r="A101" s="12">
        <v>30427</v>
      </c>
      <c r="B101" s="13" t="s">
        <v>29</v>
      </c>
      <c r="C101" s="13"/>
      <c r="D101" s="13" t="s">
        <v>24</v>
      </c>
      <c r="E101" s="14">
        <v>1041</v>
      </c>
      <c r="F101" s="14">
        <v>864</v>
      </c>
      <c r="G101" s="14">
        <v>1120</v>
      </c>
      <c r="H101" s="14">
        <v>735</v>
      </c>
      <c r="I101" s="14">
        <v>1448</v>
      </c>
      <c r="J101" s="14">
        <v>1468</v>
      </c>
      <c r="K101" s="14">
        <v>1761</v>
      </c>
      <c r="L101" t="str">
        <f t="shared" si="1"/>
        <v>Costa Rica_Argentina</v>
      </c>
    </row>
    <row r="102" spans="1:12" x14ac:dyDescent="0.3">
      <c r="A102" s="12">
        <v>30438</v>
      </c>
      <c r="B102" s="13" t="s">
        <v>29</v>
      </c>
      <c r="C102" s="13"/>
      <c r="D102" s="13" t="s">
        <v>1</v>
      </c>
      <c r="E102" s="14">
        <v>269</v>
      </c>
      <c r="F102" s="14">
        <v>220</v>
      </c>
      <c r="G102" s="14">
        <v>282</v>
      </c>
      <c r="H102" s="14">
        <v>186</v>
      </c>
      <c r="I102" s="14">
        <v>365</v>
      </c>
      <c r="J102" s="14">
        <v>369</v>
      </c>
      <c r="K102" s="14">
        <v>442</v>
      </c>
      <c r="L102" t="str">
        <f t="shared" si="1"/>
        <v>Costa Rica_Bolivia</v>
      </c>
    </row>
    <row r="103" spans="1:12" x14ac:dyDescent="0.3">
      <c r="A103" s="12">
        <v>30439</v>
      </c>
      <c r="B103" s="13" t="s">
        <v>29</v>
      </c>
      <c r="C103" s="13"/>
      <c r="D103" s="13" t="s">
        <v>25</v>
      </c>
      <c r="E103" s="14">
        <v>346</v>
      </c>
      <c r="F103" s="14">
        <v>304</v>
      </c>
      <c r="G103" s="14">
        <v>415</v>
      </c>
      <c r="H103" s="14">
        <v>273</v>
      </c>
      <c r="I103" s="14">
        <v>537</v>
      </c>
      <c r="J103" s="14">
        <v>544</v>
      </c>
      <c r="K103" s="14">
        <v>652</v>
      </c>
      <c r="L103" t="str">
        <f t="shared" si="1"/>
        <v>Costa Rica_Brazil</v>
      </c>
    </row>
    <row r="104" spans="1:12" x14ac:dyDescent="0.3">
      <c r="A104" s="12">
        <v>30446</v>
      </c>
      <c r="B104" s="13" t="s">
        <v>29</v>
      </c>
      <c r="C104" s="13"/>
      <c r="D104" s="13" t="s">
        <v>26</v>
      </c>
      <c r="E104" s="14">
        <v>810</v>
      </c>
      <c r="F104" s="14">
        <v>754</v>
      </c>
      <c r="G104" s="14">
        <v>1074</v>
      </c>
      <c r="H104" s="14">
        <v>705</v>
      </c>
      <c r="I104" s="14">
        <v>1389</v>
      </c>
      <c r="J104" s="14">
        <v>1408</v>
      </c>
      <c r="K104" s="14">
        <v>1689</v>
      </c>
      <c r="L104" t="str">
        <f t="shared" si="1"/>
        <v>Costa Rica_Canada</v>
      </c>
    </row>
    <row r="105" spans="1:12" x14ac:dyDescent="0.3">
      <c r="A105" s="12">
        <v>30450</v>
      </c>
      <c r="B105" s="13" t="s">
        <v>29</v>
      </c>
      <c r="C105" s="13"/>
      <c r="D105" s="13" t="s">
        <v>27</v>
      </c>
      <c r="E105" s="14">
        <v>1490</v>
      </c>
      <c r="F105" s="14">
        <v>1127</v>
      </c>
      <c r="G105" s="14">
        <v>1327</v>
      </c>
      <c r="H105" s="14">
        <v>870</v>
      </c>
      <c r="I105" s="14">
        <v>1715</v>
      </c>
      <c r="J105" s="14">
        <v>1739</v>
      </c>
      <c r="K105" s="14">
        <v>2086</v>
      </c>
      <c r="L105" t="str">
        <f t="shared" si="1"/>
        <v>Costa Rica_Chile</v>
      </c>
    </row>
    <row r="106" spans="1:12" x14ac:dyDescent="0.3">
      <c r="A106" s="12">
        <v>30452</v>
      </c>
      <c r="B106" s="13" t="s">
        <v>29</v>
      </c>
      <c r="C106" s="13"/>
      <c r="D106" s="13" t="s">
        <v>28</v>
      </c>
      <c r="E106" s="14">
        <v>4372</v>
      </c>
      <c r="F106" s="14">
        <v>4147</v>
      </c>
      <c r="G106" s="14">
        <v>5995</v>
      </c>
      <c r="H106" s="14">
        <v>7708</v>
      </c>
      <c r="I106" s="14">
        <v>20965</v>
      </c>
      <c r="J106" s="14">
        <v>21270</v>
      </c>
      <c r="K106" s="14">
        <v>25530</v>
      </c>
      <c r="L106" t="str">
        <f t="shared" si="1"/>
        <v>Costa Rica_Colombia</v>
      </c>
    </row>
    <row r="107" spans="1:12" x14ac:dyDescent="0.3">
      <c r="A107" s="12">
        <v>30462</v>
      </c>
      <c r="B107" s="13" t="s">
        <v>29</v>
      </c>
      <c r="C107" s="13"/>
      <c r="D107" s="13" t="s">
        <v>30</v>
      </c>
      <c r="E107" s="14">
        <v>736</v>
      </c>
      <c r="F107" s="14">
        <v>683</v>
      </c>
      <c r="G107" s="14">
        <v>971</v>
      </c>
      <c r="H107" s="14">
        <v>637</v>
      </c>
      <c r="I107" s="14">
        <v>1255</v>
      </c>
      <c r="J107" s="14">
        <v>1272</v>
      </c>
      <c r="K107" s="14">
        <v>1526</v>
      </c>
      <c r="L107" t="str">
        <f t="shared" si="1"/>
        <v>Costa Rica_Ecuador</v>
      </c>
    </row>
    <row r="108" spans="1:12" x14ac:dyDescent="0.3">
      <c r="A108" s="12">
        <v>30463</v>
      </c>
      <c r="B108" s="13" t="s">
        <v>29</v>
      </c>
      <c r="C108" s="13"/>
      <c r="D108" s="13" t="s">
        <v>31</v>
      </c>
      <c r="E108" s="14">
        <v>56257</v>
      </c>
      <c r="F108" s="14">
        <v>26046</v>
      </c>
      <c r="G108" s="14">
        <v>8857</v>
      </c>
      <c r="H108" s="14">
        <v>6451</v>
      </c>
      <c r="I108" s="14">
        <v>13701</v>
      </c>
      <c r="J108" s="14">
        <v>13900</v>
      </c>
      <c r="K108" s="14">
        <v>16682</v>
      </c>
      <c r="L108" t="str">
        <f t="shared" si="1"/>
        <v>Costa Rica_El Salvador</v>
      </c>
    </row>
    <row r="109" spans="1:12" x14ac:dyDescent="0.3">
      <c r="A109" s="12">
        <v>30479</v>
      </c>
      <c r="B109" s="13" t="s">
        <v>29</v>
      </c>
      <c r="C109" s="13"/>
      <c r="D109" s="13" t="s">
        <v>32</v>
      </c>
      <c r="E109" s="14">
        <v>1977</v>
      </c>
      <c r="F109" s="14">
        <v>1602</v>
      </c>
      <c r="G109" s="14">
        <v>2029</v>
      </c>
      <c r="H109" s="14">
        <v>1330</v>
      </c>
      <c r="I109" s="14">
        <v>2623</v>
      </c>
      <c r="J109" s="14">
        <v>2660</v>
      </c>
      <c r="K109" s="14">
        <v>3192</v>
      </c>
      <c r="L109" t="str">
        <f t="shared" si="1"/>
        <v>Costa Rica_Guatemala</v>
      </c>
    </row>
    <row r="110" spans="1:12" x14ac:dyDescent="0.3">
      <c r="A110" s="12">
        <v>30482</v>
      </c>
      <c r="B110" s="13" t="s">
        <v>29</v>
      </c>
      <c r="C110" s="13"/>
      <c r="D110" s="13" t="s">
        <v>33</v>
      </c>
      <c r="E110" s="14">
        <v>2608</v>
      </c>
      <c r="F110" s="14">
        <v>2241</v>
      </c>
      <c r="G110" s="14">
        <v>2994</v>
      </c>
      <c r="H110" s="14">
        <v>1963</v>
      </c>
      <c r="I110" s="14">
        <v>3869</v>
      </c>
      <c r="J110" s="14">
        <v>3924</v>
      </c>
      <c r="K110" s="14">
        <v>4708</v>
      </c>
      <c r="L110" t="str">
        <f t="shared" si="1"/>
        <v>Costa Rica_Honduras</v>
      </c>
    </row>
    <row r="111" spans="1:12" x14ac:dyDescent="0.3">
      <c r="A111" s="12">
        <v>30513</v>
      </c>
      <c r="B111" s="13" t="s">
        <v>29</v>
      </c>
      <c r="C111" s="13"/>
      <c r="D111" s="13" t="s">
        <v>34</v>
      </c>
      <c r="E111" s="14">
        <v>2081</v>
      </c>
      <c r="F111" s="14">
        <v>1778</v>
      </c>
      <c r="G111" s="14">
        <v>2365</v>
      </c>
      <c r="H111" s="14">
        <v>1550</v>
      </c>
      <c r="I111" s="14">
        <v>3056</v>
      </c>
      <c r="J111" s="14">
        <v>3100</v>
      </c>
      <c r="K111" s="14">
        <v>3720</v>
      </c>
      <c r="L111" t="str">
        <f t="shared" si="1"/>
        <v>Costa Rica_Mexico</v>
      </c>
    </row>
    <row r="112" spans="1:12" x14ac:dyDescent="0.3">
      <c r="A112" s="12">
        <v>30525</v>
      </c>
      <c r="B112" s="13" t="s">
        <v>29</v>
      </c>
      <c r="C112" s="13"/>
      <c r="D112" s="13" t="s">
        <v>35</v>
      </c>
      <c r="E112" s="14">
        <v>99153</v>
      </c>
      <c r="F112" s="14">
        <v>131695</v>
      </c>
      <c r="G112" s="14">
        <v>230085</v>
      </c>
      <c r="H112" s="14">
        <v>268157</v>
      </c>
      <c r="I112" s="14">
        <v>288033</v>
      </c>
      <c r="J112" s="14">
        <v>292232</v>
      </c>
      <c r="K112" s="14">
        <v>350854</v>
      </c>
      <c r="L112" t="str">
        <f t="shared" si="1"/>
        <v>Costa Rica_Nicaragua</v>
      </c>
    </row>
    <row r="113" spans="1:12" x14ac:dyDescent="0.3">
      <c r="A113" s="12">
        <v>30529</v>
      </c>
      <c r="B113" s="13" t="s">
        <v>29</v>
      </c>
      <c r="C113" s="13"/>
      <c r="D113" s="13" t="s">
        <v>36</v>
      </c>
      <c r="E113" s="14">
        <v>8692</v>
      </c>
      <c r="F113" s="14">
        <v>7652</v>
      </c>
      <c r="G113" s="14">
        <v>10438</v>
      </c>
      <c r="H113" s="14">
        <v>6205</v>
      </c>
      <c r="I113" s="14">
        <v>11261</v>
      </c>
      <c r="J113" s="14">
        <v>11424</v>
      </c>
      <c r="K113" s="14">
        <v>13711</v>
      </c>
      <c r="L113" t="str">
        <f t="shared" si="1"/>
        <v>Costa Rica_Panama</v>
      </c>
    </row>
    <row r="114" spans="1:12" x14ac:dyDescent="0.3">
      <c r="A114" s="12">
        <v>30530</v>
      </c>
      <c r="B114" s="13" t="s">
        <v>29</v>
      </c>
      <c r="C114" s="13"/>
      <c r="D114" s="13" t="s">
        <v>37</v>
      </c>
      <c r="E114" s="14">
        <v>58</v>
      </c>
      <c r="F114" s="14">
        <v>48</v>
      </c>
      <c r="G114" s="14">
        <v>63</v>
      </c>
      <c r="H114" s="14">
        <v>42</v>
      </c>
      <c r="I114" s="14">
        <v>83</v>
      </c>
      <c r="J114" s="14">
        <v>83</v>
      </c>
      <c r="K114" s="14">
        <v>99</v>
      </c>
      <c r="L114" t="str">
        <f t="shared" si="1"/>
        <v>Costa Rica_Paraguay</v>
      </c>
    </row>
    <row r="115" spans="1:12" x14ac:dyDescent="0.3">
      <c r="A115" s="12">
        <v>30531</v>
      </c>
      <c r="B115" s="13" t="s">
        <v>29</v>
      </c>
      <c r="C115" s="13"/>
      <c r="D115" s="13" t="s">
        <v>38</v>
      </c>
      <c r="E115" s="14">
        <v>2225</v>
      </c>
      <c r="F115" s="14">
        <v>2045</v>
      </c>
      <c r="G115" s="14">
        <v>2887</v>
      </c>
      <c r="H115" s="14">
        <v>1893</v>
      </c>
      <c r="I115" s="14">
        <v>3730</v>
      </c>
      <c r="J115" s="14">
        <v>3783</v>
      </c>
      <c r="K115" s="14">
        <v>4540</v>
      </c>
      <c r="L115" t="str">
        <f t="shared" si="1"/>
        <v>Costa Rica_Peru</v>
      </c>
    </row>
    <row r="116" spans="1:12" x14ac:dyDescent="0.3">
      <c r="A116" s="12">
        <v>30570</v>
      </c>
      <c r="B116" s="13" t="s">
        <v>29</v>
      </c>
      <c r="C116" s="13"/>
      <c r="D116" s="13" t="s">
        <v>16</v>
      </c>
      <c r="E116" s="14">
        <v>8586</v>
      </c>
      <c r="F116" s="14">
        <v>7301</v>
      </c>
      <c r="G116" s="14">
        <v>9667</v>
      </c>
      <c r="H116" s="14">
        <v>6336</v>
      </c>
      <c r="I116" s="14">
        <v>12492</v>
      </c>
      <c r="J116" s="14">
        <v>12673</v>
      </c>
      <c r="K116" s="14">
        <v>15209</v>
      </c>
      <c r="L116" t="str">
        <f t="shared" si="1"/>
        <v>Costa Rica_United States</v>
      </c>
    </row>
    <row r="117" spans="1:12" x14ac:dyDescent="0.3">
      <c r="A117" s="12">
        <v>30572</v>
      </c>
      <c r="B117" s="13" t="s">
        <v>29</v>
      </c>
      <c r="C117" s="13"/>
      <c r="D117" s="13" t="s">
        <v>39</v>
      </c>
      <c r="E117" s="14">
        <v>252</v>
      </c>
      <c r="F117" s="14">
        <v>196</v>
      </c>
      <c r="G117" s="14">
        <v>239</v>
      </c>
      <c r="H117" s="14">
        <v>158</v>
      </c>
      <c r="I117" s="14">
        <v>310</v>
      </c>
      <c r="J117" s="14">
        <v>313</v>
      </c>
      <c r="K117" s="14">
        <v>374</v>
      </c>
      <c r="L117" t="str">
        <f t="shared" si="1"/>
        <v>Costa Rica_Uruguay</v>
      </c>
    </row>
    <row r="118" spans="1:12" x14ac:dyDescent="0.3">
      <c r="A118" s="12">
        <v>30574</v>
      </c>
      <c r="B118" s="13" t="s">
        <v>29</v>
      </c>
      <c r="C118" s="13"/>
      <c r="D118" s="13" t="s">
        <v>18</v>
      </c>
      <c r="E118" s="14">
        <v>1030</v>
      </c>
      <c r="F118" s="14">
        <v>834</v>
      </c>
      <c r="G118" s="14">
        <v>1054</v>
      </c>
      <c r="H118" s="14">
        <v>691</v>
      </c>
      <c r="I118" s="14">
        <v>1362</v>
      </c>
      <c r="J118" s="14">
        <v>1381</v>
      </c>
      <c r="K118" s="14">
        <v>28214</v>
      </c>
      <c r="L118" t="str">
        <f t="shared" si="1"/>
        <v>Costa Rica_Venezuela</v>
      </c>
    </row>
    <row r="119" spans="1:12" x14ac:dyDescent="0.3">
      <c r="A119" s="12">
        <v>32334</v>
      </c>
      <c r="B119" s="13" t="s">
        <v>30</v>
      </c>
      <c r="C119" s="13"/>
      <c r="D119" s="13" t="s">
        <v>24</v>
      </c>
      <c r="E119" s="14">
        <v>1669</v>
      </c>
      <c r="F119" s="14">
        <v>1954</v>
      </c>
      <c r="G119" s="14">
        <v>2239</v>
      </c>
      <c r="H119" s="14">
        <v>2679</v>
      </c>
      <c r="I119" s="14">
        <v>4266</v>
      </c>
      <c r="J119" s="14">
        <v>5399</v>
      </c>
      <c r="K119" s="14">
        <v>5645</v>
      </c>
      <c r="L119" t="str">
        <f t="shared" si="1"/>
        <v>Ecuador_Argentina</v>
      </c>
    </row>
    <row r="120" spans="1:12" x14ac:dyDescent="0.3">
      <c r="A120" s="12">
        <v>32340</v>
      </c>
      <c r="B120" s="13" t="s">
        <v>30</v>
      </c>
      <c r="C120" s="13"/>
      <c r="D120" s="13" t="s">
        <v>1</v>
      </c>
      <c r="E120" s="14">
        <v>509</v>
      </c>
      <c r="F120" s="14">
        <v>572</v>
      </c>
      <c r="G120" s="14">
        <v>634</v>
      </c>
      <c r="H120" s="14">
        <v>758</v>
      </c>
      <c r="I120" s="14">
        <v>1208</v>
      </c>
      <c r="J120" s="14">
        <v>1528</v>
      </c>
      <c r="K120" s="14">
        <v>1597</v>
      </c>
      <c r="L120" t="str">
        <f t="shared" si="1"/>
        <v>Ecuador_Bolivia</v>
      </c>
    </row>
    <row r="121" spans="1:12" x14ac:dyDescent="0.3">
      <c r="A121" s="12">
        <v>32341</v>
      </c>
      <c r="B121" s="13" t="s">
        <v>30</v>
      </c>
      <c r="C121" s="13"/>
      <c r="D121" s="13" t="s">
        <v>25</v>
      </c>
      <c r="E121" s="14">
        <v>968</v>
      </c>
      <c r="F121" s="14">
        <v>1035</v>
      </c>
      <c r="G121" s="14">
        <v>1101</v>
      </c>
      <c r="H121" s="14">
        <v>1317</v>
      </c>
      <c r="I121" s="14">
        <v>2097</v>
      </c>
      <c r="J121" s="14">
        <v>2654</v>
      </c>
      <c r="K121" s="14">
        <v>2774</v>
      </c>
      <c r="L121" t="str">
        <f t="shared" si="1"/>
        <v>Ecuador_Brazil</v>
      </c>
    </row>
    <row r="122" spans="1:12" x14ac:dyDescent="0.3">
      <c r="A122" s="12">
        <v>32344</v>
      </c>
      <c r="B122" s="13" t="s">
        <v>30</v>
      </c>
      <c r="C122" s="13"/>
      <c r="D122" s="13" t="s">
        <v>26</v>
      </c>
      <c r="E122" s="14">
        <v>806</v>
      </c>
      <c r="F122" s="14">
        <v>889</v>
      </c>
      <c r="G122" s="14">
        <v>971</v>
      </c>
      <c r="H122" s="14">
        <v>1162</v>
      </c>
      <c r="I122" s="14">
        <v>1850</v>
      </c>
      <c r="J122" s="14">
        <v>2341</v>
      </c>
      <c r="K122" s="14">
        <v>2447</v>
      </c>
      <c r="L122" t="str">
        <f t="shared" si="1"/>
        <v>Ecuador_Canada</v>
      </c>
    </row>
    <row r="123" spans="1:12" x14ac:dyDescent="0.3">
      <c r="A123" s="12">
        <v>32345</v>
      </c>
      <c r="B123" s="13" t="s">
        <v>30</v>
      </c>
      <c r="C123" s="13"/>
      <c r="D123" s="13" t="s">
        <v>27</v>
      </c>
      <c r="E123" s="14">
        <v>5302</v>
      </c>
      <c r="F123" s="14">
        <v>5002</v>
      </c>
      <c r="G123" s="14">
        <v>4702</v>
      </c>
      <c r="H123" s="14">
        <v>5625</v>
      </c>
      <c r="I123" s="14">
        <v>8959</v>
      </c>
      <c r="J123" s="14">
        <v>11341</v>
      </c>
      <c r="K123" s="14">
        <v>11859</v>
      </c>
      <c r="L123" t="str">
        <f t="shared" si="1"/>
        <v>Ecuador_Chile</v>
      </c>
    </row>
    <row r="124" spans="1:12" x14ac:dyDescent="0.3">
      <c r="A124" s="12">
        <v>32347</v>
      </c>
      <c r="B124" s="13" t="s">
        <v>30</v>
      </c>
      <c r="C124" s="13"/>
      <c r="D124" s="13" t="s">
        <v>28</v>
      </c>
      <c r="E124" s="14">
        <v>40238</v>
      </c>
      <c r="F124" s="14">
        <v>55897</v>
      </c>
      <c r="G124" s="14">
        <v>71556</v>
      </c>
      <c r="H124" s="14">
        <v>94258</v>
      </c>
      <c r="I124" s="14">
        <v>221534</v>
      </c>
      <c r="J124" s="14">
        <v>194721</v>
      </c>
      <c r="K124" s="14">
        <v>203470</v>
      </c>
      <c r="L124" t="str">
        <f t="shared" si="1"/>
        <v>Ecuador_Colombia</v>
      </c>
    </row>
    <row r="125" spans="1:12" x14ac:dyDescent="0.3">
      <c r="A125" s="12">
        <v>32348</v>
      </c>
      <c r="B125" s="13" t="s">
        <v>30</v>
      </c>
      <c r="C125" s="13"/>
      <c r="D125" s="13" t="s">
        <v>29</v>
      </c>
      <c r="E125" s="14">
        <v>313</v>
      </c>
      <c r="F125" s="14">
        <v>351</v>
      </c>
      <c r="G125" s="14">
        <v>389</v>
      </c>
      <c r="H125" s="14">
        <v>466</v>
      </c>
      <c r="I125" s="14">
        <v>742</v>
      </c>
      <c r="J125" s="14">
        <v>938</v>
      </c>
      <c r="K125" s="14">
        <v>1027</v>
      </c>
      <c r="L125" t="str">
        <f t="shared" si="1"/>
        <v>Ecuador_Costa Rica</v>
      </c>
    </row>
    <row r="126" spans="1:12" x14ac:dyDescent="0.3">
      <c r="A126" s="12">
        <v>32354</v>
      </c>
      <c r="B126" s="13" t="s">
        <v>30</v>
      </c>
      <c r="C126" s="13"/>
      <c r="D126" s="13" t="s">
        <v>31</v>
      </c>
      <c r="E126" s="14">
        <v>174</v>
      </c>
      <c r="F126" s="14">
        <v>196</v>
      </c>
      <c r="G126" s="14">
        <v>217</v>
      </c>
      <c r="H126" s="14">
        <v>260</v>
      </c>
      <c r="I126" s="14">
        <v>413</v>
      </c>
      <c r="J126" s="14">
        <v>522</v>
      </c>
      <c r="K126" s="14">
        <v>544</v>
      </c>
      <c r="L126" t="str">
        <f t="shared" si="1"/>
        <v>Ecuador_El Salvador</v>
      </c>
    </row>
    <row r="127" spans="1:12" x14ac:dyDescent="0.3">
      <c r="A127" s="12">
        <v>32363</v>
      </c>
      <c r="B127" s="13" t="s">
        <v>30</v>
      </c>
      <c r="C127" s="13"/>
      <c r="D127" s="13" t="s">
        <v>32</v>
      </c>
      <c r="E127" s="14">
        <v>144</v>
      </c>
      <c r="F127" s="14">
        <v>162</v>
      </c>
      <c r="G127" s="14">
        <v>179</v>
      </c>
      <c r="H127" s="14">
        <v>214</v>
      </c>
      <c r="I127" s="14">
        <v>341</v>
      </c>
      <c r="J127" s="14">
        <v>430</v>
      </c>
      <c r="K127" s="14">
        <v>449</v>
      </c>
      <c r="L127" t="str">
        <f t="shared" si="1"/>
        <v>Ecuador_Guatemala</v>
      </c>
    </row>
    <row r="128" spans="1:12" x14ac:dyDescent="0.3">
      <c r="A128" s="12">
        <v>32365</v>
      </c>
      <c r="B128" s="13" t="s">
        <v>30</v>
      </c>
      <c r="C128" s="13"/>
      <c r="D128" s="13" t="s">
        <v>33</v>
      </c>
      <c r="E128" s="14">
        <v>157</v>
      </c>
      <c r="F128" s="14">
        <v>176</v>
      </c>
      <c r="G128" s="14">
        <v>195</v>
      </c>
      <c r="H128" s="14">
        <v>234</v>
      </c>
      <c r="I128" s="14">
        <v>372</v>
      </c>
      <c r="J128" s="14">
        <v>469</v>
      </c>
      <c r="K128" s="14">
        <v>489</v>
      </c>
      <c r="L128" t="str">
        <f t="shared" si="1"/>
        <v>Ecuador_Honduras</v>
      </c>
    </row>
    <row r="129" spans="1:12" x14ac:dyDescent="0.3">
      <c r="A129" s="12">
        <v>32382</v>
      </c>
      <c r="B129" s="13" t="s">
        <v>30</v>
      </c>
      <c r="C129" s="13"/>
      <c r="D129" s="13" t="s">
        <v>34</v>
      </c>
      <c r="E129" s="14">
        <v>656</v>
      </c>
      <c r="F129" s="14">
        <v>797</v>
      </c>
      <c r="G129" s="14">
        <v>937</v>
      </c>
      <c r="H129" s="14">
        <v>1121</v>
      </c>
      <c r="I129" s="14">
        <v>1785</v>
      </c>
      <c r="J129" s="14">
        <v>2258</v>
      </c>
      <c r="K129" s="14">
        <v>2361</v>
      </c>
      <c r="L129" t="str">
        <f t="shared" si="1"/>
        <v>Ecuador_Mexico</v>
      </c>
    </row>
    <row r="130" spans="1:12" x14ac:dyDescent="0.3">
      <c r="A130" s="12">
        <v>32386</v>
      </c>
      <c r="B130" s="13" t="s">
        <v>30</v>
      </c>
      <c r="C130" s="13"/>
      <c r="D130" s="13" t="s">
        <v>35</v>
      </c>
      <c r="E130" s="14">
        <v>131</v>
      </c>
      <c r="F130" s="14">
        <v>147</v>
      </c>
      <c r="G130" s="14">
        <v>163</v>
      </c>
      <c r="H130" s="14">
        <v>195</v>
      </c>
      <c r="I130" s="14">
        <v>311</v>
      </c>
      <c r="J130" s="14">
        <v>392</v>
      </c>
      <c r="K130" s="14">
        <v>408</v>
      </c>
      <c r="L130" t="str">
        <f t="shared" si="1"/>
        <v>Ecuador_Nicaragua</v>
      </c>
    </row>
    <row r="131" spans="1:12" x14ac:dyDescent="0.3">
      <c r="A131" s="12">
        <v>32390</v>
      </c>
      <c r="B131" s="13" t="s">
        <v>30</v>
      </c>
      <c r="C131" s="13"/>
      <c r="D131" s="13" t="s">
        <v>36</v>
      </c>
      <c r="E131" s="14">
        <v>321</v>
      </c>
      <c r="F131" s="14">
        <v>361</v>
      </c>
      <c r="G131" s="14">
        <v>400</v>
      </c>
      <c r="H131" s="14">
        <v>479</v>
      </c>
      <c r="I131" s="14">
        <v>762</v>
      </c>
      <c r="J131" s="14">
        <v>964</v>
      </c>
      <c r="K131" s="14">
        <v>1008</v>
      </c>
      <c r="L131" t="str">
        <f t="shared" ref="L131:L194" si="2">TRIM(B131)&amp;"_"&amp;TRIM(D131)</f>
        <v>Ecuador_Panama</v>
      </c>
    </row>
    <row r="132" spans="1:12" x14ac:dyDescent="0.3">
      <c r="A132" s="12">
        <v>32391</v>
      </c>
      <c r="B132" s="13" t="s">
        <v>30</v>
      </c>
      <c r="C132" s="13"/>
      <c r="D132" s="13" t="s">
        <v>37</v>
      </c>
      <c r="E132" s="14">
        <v>81</v>
      </c>
      <c r="F132" s="14">
        <v>91</v>
      </c>
      <c r="G132" s="14">
        <v>101</v>
      </c>
      <c r="H132" s="14">
        <v>121</v>
      </c>
      <c r="I132" s="14">
        <v>192</v>
      </c>
      <c r="J132" s="14">
        <v>242</v>
      </c>
      <c r="K132" s="14">
        <v>252</v>
      </c>
      <c r="L132" t="str">
        <f t="shared" si="2"/>
        <v>Ecuador_Paraguay</v>
      </c>
    </row>
    <row r="133" spans="1:12" x14ac:dyDescent="0.3">
      <c r="A133" s="12">
        <v>32392</v>
      </c>
      <c r="B133" s="13" t="s">
        <v>30</v>
      </c>
      <c r="C133" s="13"/>
      <c r="D133" s="13" t="s">
        <v>38</v>
      </c>
      <c r="E133" s="14">
        <v>2567</v>
      </c>
      <c r="F133" s="14">
        <v>4125</v>
      </c>
      <c r="G133" s="14">
        <v>5682</v>
      </c>
      <c r="H133" s="14">
        <v>6798</v>
      </c>
      <c r="I133" s="14">
        <v>10826</v>
      </c>
      <c r="J133" s="14">
        <v>13705</v>
      </c>
      <c r="K133" s="14">
        <v>14331</v>
      </c>
      <c r="L133" t="str">
        <f t="shared" si="2"/>
        <v>Ecuador_Peru</v>
      </c>
    </row>
    <row r="134" spans="1:12" x14ac:dyDescent="0.3">
      <c r="A134" s="12">
        <v>32412</v>
      </c>
      <c r="B134" s="13" t="s">
        <v>30</v>
      </c>
      <c r="C134" s="13"/>
      <c r="D134" s="13" t="s">
        <v>16</v>
      </c>
      <c r="E134" s="14">
        <v>8595</v>
      </c>
      <c r="F134" s="14">
        <v>9854</v>
      </c>
      <c r="G134" s="14">
        <v>11112</v>
      </c>
      <c r="H134" s="14">
        <v>13293</v>
      </c>
      <c r="I134" s="14">
        <v>21172</v>
      </c>
      <c r="J134" s="14">
        <v>26802</v>
      </c>
      <c r="K134" s="14">
        <v>28026</v>
      </c>
      <c r="L134" t="str">
        <f t="shared" si="2"/>
        <v>Ecuador_United States</v>
      </c>
    </row>
    <row r="135" spans="1:12" x14ac:dyDescent="0.3">
      <c r="A135" s="12">
        <v>32413</v>
      </c>
      <c r="B135" s="13" t="s">
        <v>30</v>
      </c>
      <c r="C135" s="13"/>
      <c r="D135" s="13" t="s">
        <v>39</v>
      </c>
      <c r="E135" s="14">
        <v>320</v>
      </c>
      <c r="F135" s="14">
        <v>359</v>
      </c>
      <c r="G135" s="14">
        <v>398</v>
      </c>
      <c r="H135" s="14">
        <v>476</v>
      </c>
      <c r="I135" s="14">
        <v>758</v>
      </c>
      <c r="J135" s="14">
        <v>958</v>
      </c>
      <c r="K135" s="14">
        <v>1002</v>
      </c>
      <c r="L135" t="str">
        <f t="shared" si="2"/>
        <v>Ecuador_Uruguay</v>
      </c>
    </row>
    <row r="136" spans="1:12" x14ac:dyDescent="0.3">
      <c r="A136" s="12">
        <v>32414</v>
      </c>
      <c r="B136" s="13" t="s">
        <v>30</v>
      </c>
      <c r="C136" s="13"/>
      <c r="D136" s="13" t="s">
        <v>18</v>
      </c>
      <c r="E136" s="14">
        <v>2549</v>
      </c>
      <c r="F136" s="14">
        <v>3120</v>
      </c>
      <c r="G136" s="14">
        <v>3691</v>
      </c>
      <c r="H136" s="14">
        <v>4415</v>
      </c>
      <c r="I136" s="14">
        <v>7032</v>
      </c>
      <c r="J136" s="14">
        <v>8901</v>
      </c>
      <c r="K136" s="14">
        <v>388861</v>
      </c>
      <c r="L136" t="str">
        <f t="shared" si="2"/>
        <v>Ecuador_Venezuela</v>
      </c>
    </row>
    <row r="137" spans="1:12" x14ac:dyDescent="0.3">
      <c r="A137" s="9">
        <v>30624</v>
      </c>
      <c r="B137" s="10" t="s">
        <v>31</v>
      </c>
      <c r="C137" s="10"/>
      <c r="D137" s="10" t="s">
        <v>24</v>
      </c>
      <c r="E137" s="11">
        <v>255</v>
      </c>
      <c r="F137" s="11">
        <v>211</v>
      </c>
      <c r="G137" s="11">
        <v>166</v>
      </c>
      <c r="H137" s="11">
        <v>187</v>
      </c>
      <c r="I137" s="11">
        <v>207</v>
      </c>
      <c r="J137" s="11">
        <v>216</v>
      </c>
      <c r="K137" s="11">
        <v>218</v>
      </c>
      <c r="L137" t="str">
        <f t="shared" si="2"/>
        <v>El Salvador_Argentina</v>
      </c>
    </row>
    <row r="138" spans="1:12" x14ac:dyDescent="0.3">
      <c r="A138" s="9">
        <v>30630</v>
      </c>
      <c r="B138" s="10" t="s">
        <v>31</v>
      </c>
      <c r="C138" s="10"/>
      <c r="D138" s="10" t="s">
        <v>1</v>
      </c>
      <c r="E138" s="11">
        <v>73</v>
      </c>
      <c r="F138" s="11">
        <v>59</v>
      </c>
      <c r="G138" s="11">
        <v>44</v>
      </c>
      <c r="H138" s="11">
        <v>48</v>
      </c>
      <c r="I138" s="11">
        <v>51</v>
      </c>
      <c r="J138" s="11">
        <v>53</v>
      </c>
      <c r="K138" s="11">
        <v>53</v>
      </c>
      <c r="L138" t="str">
        <f t="shared" si="2"/>
        <v>El Salvador_Bolivia</v>
      </c>
    </row>
    <row r="139" spans="1:12" x14ac:dyDescent="0.3">
      <c r="A139" s="9">
        <v>30631</v>
      </c>
      <c r="B139" s="10" t="s">
        <v>31</v>
      </c>
      <c r="C139" s="10"/>
      <c r="D139" s="10" t="s">
        <v>25</v>
      </c>
      <c r="E139" s="11">
        <v>329</v>
      </c>
      <c r="F139" s="11">
        <v>264</v>
      </c>
      <c r="G139" s="11">
        <v>198</v>
      </c>
      <c r="H139" s="11">
        <v>215</v>
      </c>
      <c r="I139" s="11">
        <v>232</v>
      </c>
      <c r="J139" s="11">
        <v>242</v>
      </c>
      <c r="K139" s="11">
        <v>245</v>
      </c>
      <c r="L139" t="str">
        <f t="shared" si="2"/>
        <v>El Salvador_Brazil</v>
      </c>
    </row>
    <row r="140" spans="1:12" x14ac:dyDescent="0.3">
      <c r="A140" s="9">
        <v>30633</v>
      </c>
      <c r="B140" s="10" t="s">
        <v>31</v>
      </c>
      <c r="C140" s="10"/>
      <c r="D140" s="10" t="s">
        <v>26</v>
      </c>
      <c r="E140" s="11">
        <v>508</v>
      </c>
      <c r="F140" s="11">
        <v>379</v>
      </c>
      <c r="G140" s="11">
        <v>249</v>
      </c>
      <c r="H140" s="11">
        <v>242</v>
      </c>
      <c r="I140" s="11">
        <v>235</v>
      </c>
      <c r="J140" s="11">
        <v>245</v>
      </c>
      <c r="K140" s="11">
        <v>248</v>
      </c>
      <c r="L140" t="str">
        <f t="shared" si="2"/>
        <v>El Salvador_Canada</v>
      </c>
    </row>
    <row r="141" spans="1:12" x14ac:dyDescent="0.3">
      <c r="A141" s="9">
        <v>30634</v>
      </c>
      <c r="B141" s="10" t="s">
        <v>31</v>
      </c>
      <c r="C141" s="10"/>
      <c r="D141" s="10" t="s">
        <v>27</v>
      </c>
      <c r="E141" s="11">
        <v>380</v>
      </c>
      <c r="F141" s="11">
        <v>294</v>
      </c>
      <c r="G141" s="11">
        <v>207</v>
      </c>
      <c r="H141" s="11">
        <v>214</v>
      </c>
      <c r="I141" s="11">
        <v>220</v>
      </c>
      <c r="J141" s="11">
        <v>229</v>
      </c>
      <c r="K141" s="11">
        <v>232</v>
      </c>
      <c r="L141" t="str">
        <f t="shared" si="2"/>
        <v>El Salvador_Chile</v>
      </c>
    </row>
    <row r="142" spans="1:12" x14ac:dyDescent="0.3">
      <c r="A142" s="9">
        <v>30636</v>
      </c>
      <c r="B142" s="10" t="s">
        <v>31</v>
      </c>
      <c r="C142" s="10"/>
      <c r="D142" s="10" t="s">
        <v>28</v>
      </c>
      <c r="E142" s="11">
        <v>386</v>
      </c>
      <c r="F142" s="11">
        <v>375</v>
      </c>
      <c r="G142" s="11">
        <v>363</v>
      </c>
      <c r="H142" s="11">
        <v>458</v>
      </c>
      <c r="I142" s="11">
        <v>553</v>
      </c>
      <c r="J142" s="11">
        <v>577</v>
      </c>
      <c r="K142" s="11">
        <v>585</v>
      </c>
      <c r="L142" t="str">
        <f t="shared" si="2"/>
        <v>El Salvador_Colombia</v>
      </c>
    </row>
    <row r="143" spans="1:12" x14ac:dyDescent="0.3">
      <c r="A143" s="9">
        <v>30637</v>
      </c>
      <c r="B143" s="10" t="s">
        <v>31</v>
      </c>
      <c r="C143" s="10"/>
      <c r="D143" s="10" t="s">
        <v>29</v>
      </c>
      <c r="E143" s="11">
        <v>1558</v>
      </c>
      <c r="F143" s="11">
        <v>1188</v>
      </c>
      <c r="G143" s="11">
        <v>818</v>
      </c>
      <c r="H143" s="11">
        <v>829</v>
      </c>
      <c r="I143" s="11">
        <v>840</v>
      </c>
      <c r="J143" s="11">
        <v>876</v>
      </c>
      <c r="K143" s="11">
        <v>889</v>
      </c>
      <c r="L143" t="str">
        <f t="shared" si="2"/>
        <v>El Salvador_Costa Rica</v>
      </c>
    </row>
    <row r="144" spans="1:12" x14ac:dyDescent="0.3">
      <c r="A144" s="9">
        <v>30640</v>
      </c>
      <c r="B144" s="10" t="s">
        <v>31</v>
      </c>
      <c r="C144" s="10"/>
      <c r="D144" s="10" t="s">
        <v>30</v>
      </c>
      <c r="E144" s="11">
        <v>155</v>
      </c>
      <c r="F144" s="11">
        <v>126</v>
      </c>
      <c r="G144" s="11">
        <v>97</v>
      </c>
      <c r="H144" s="11">
        <v>108</v>
      </c>
      <c r="I144" s="11">
        <v>118</v>
      </c>
      <c r="J144" s="11">
        <v>123</v>
      </c>
      <c r="K144" s="11">
        <v>124</v>
      </c>
      <c r="L144" t="str">
        <f t="shared" si="2"/>
        <v>El Salvador_Ecuador</v>
      </c>
    </row>
    <row r="145" spans="1:12" x14ac:dyDescent="0.3">
      <c r="A145" s="9">
        <v>30644</v>
      </c>
      <c r="B145" s="10" t="s">
        <v>31</v>
      </c>
      <c r="C145" s="10"/>
      <c r="D145" s="10" t="s">
        <v>32</v>
      </c>
      <c r="E145" s="11">
        <v>8235</v>
      </c>
      <c r="F145" s="11">
        <v>7224</v>
      </c>
      <c r="G145" s="11">
        <v>6212</v>
      </c>
      <c r="H145" s="11">
        <v>7367</v>
      </c>
      <c r="I145" s="11">
        <v>8521</v>
      </c>
      <c r="J145" s="11">
        <v>8885</v>
      </c>
      <c r="K145" s="11">
        <v>9036</v>
      </c>
      <c r="L145" t="str">
        <f t="shared" si="2"/>
        <v>El Salvador_Guatemala</v>
      </c>
    </row>
    <row r="146" spans="1:12" x14ac:dyDescent="0.3">
      <c r="A146" s="9">
        <v>30645</v>
      </c>
      <c r="B146" s="10" t="s">
        <v>31</v>
      </c>
      <c r="C146" s="10"/>
      <c r="D146" s="10" t="s">
        <v>33</v>
      </c>
      <c r="E146" s="11">
        <v>15774</v>
      </c>
      <c r="F146" s="11">
        <v>12650</v>
      </c>
      <c r="G146" s="11">
        <v>9525</v>
      </c>
      <c r="H146" s="11">
        <v>10362</v>
      </c>
      <c r="I146" s="11">
        <v>11198</v>
      </c>
      <c r="J146" s="11">
        <v>11676</v>
      </c>
      <c r="K146" s="11">
        <v>11878</v>
      </c>
      <c r="L146" t="str">
        <f t="shared" si="2"/>
        <v>El Salvador_Honduras</v>
      </c>
    </row>
    <row r="147" spans="1:12" x14ac:dyDescent="0.3">
      <c r="A147" s="9">
        <v>30655</v>
      </c>
      <c r="B147" s="10" t="s">
        <v>31</v>
      </c>
      <c r="C147" s="10"/>
      <c r="D147" s="10" t="s">
        <v>34</v>
      </c>
      <c r="E147" s="11">
        <v>2457</v>
      </c>
      <c r="F147" s="11">
        <v>1948</v>
      </c>
      <c r="G147" s="11">
        <v>1438</v>
      </c>
      <c r="H147" s="11">
        <v>1541</v>
      </c>
      <c r="I147" s="11">
        <v>1644</v>
      </c>
      <c r="J147" s="11">
        <v>1714</v>
      </c>
      <c r="K147" s="11">
        <v>1742</v>
      </c>
      <c r="L147" t="str">
        <f t="shared" si="2"/>
        <v>El Salvador_Mexico</v>
      </c>
    </row>
    <row r="148" spans="1:12" x14ac:dyDescent="0.3">
      <c r="A148" s="9">
        <v>30657</v>
      </c>
      <c r="B148" s="10" t="s">
        <v>31</v>
      </c>
      <c r="C148" s="10"/>
      <c r="D148" s="10" t="s">
        <v>35</v>
      </c>
      <c r="E148" s="11">
        <v>3893</v>
      </c>
      <c r="F148" s="11">
        <v>4219</v>
      </c>
      <c r="G148" s="11">
        <v>4545</v>
      </c>
      <c r="H148" s="11">
        <v>6024</v>
      </c>
      <c r="I148" s="11">
        <v>7502</v>
      </c>
      <c r="J148" s="11">
        <v>7823</v>
      </c>
      <c r="K148" s="11">
        <v>7956</v>
      </c>
      <c r="L148" t="str">
        <f t="shared" si="2"/>
        <v>El Salvador_Nicaragua</v>
      </c>
    </row>
    <row r="149" spans="1:12" x14ac:dyDescent="0.3">
      <c r="A149" s="9">
        <v>30658</v>
      </c>
      <c r="B149" s="10" t="s">
        <v>31</v>
      </c>
      <c r="C149" s="10"/>
      <c r="D149" s="10" t="s">
        <v>36</v>
      </c>
      <c r="E149" s="11">
        <v>557</v>
      </c>
      <c r="F149" s="11">
        <v>456</v>
      </c>
      <c r="G149" s="11">
        <v>354</v>
      </c>
      <c r="H149" s="11">
        <v>394</v>
      </c>
      <c r="I149" s="11">
        <v>433</v>
      </c>
      <c r="J149" s="11">
        <v>451</v>
      </c>
      <c r="K149" s="11">
        <v>458</v>
      </c>
      <c r="L149" t="str">
        <f t="shared" si="2"/>
        <v>El Salvador_Panama</v>
      </c>
    </row>
    <row r="150" spans="1:12" x14ac:dyDescent="0.3">
      <c r="A150" s="9">
        <v>30659</v>
      </c>
      <c r="B150" s="10" t="s">
        <v>31</v>
      </c>
      <c r="C150" s="10"/>
      <c r="D150" s="10" t="s">
        <v>37</v>
      </c>
      <c r="E150" s="11">
        <v>36</v>
      </c>
      <c r="F150" s="11">
        <v>26</v>
      </c>
      <c r="G150" s="11">
        <v>15</v>
      </c>
      <c r="H150" s="11">
        <v>13</v>
      </c>
      <c r="I150" s="11">
        <v>11</v>
      </c>
      <c r="J150" s="11">
        <v>11</v>
      </c>
      <c r="K150" s="11">
        <v>11</v>
      </c>
      <c r="L150" t="str">
        <f t="shared" si="2"/>
        <v>El Salvador_Paraguay</v>
      </c>
    </row>
    <row r="151" spans="1:12" x14ac:dyDescent="0.3">
      <c r="A151" s="9">
        <v>30660</v>
      </c>
      <c r="B151" s="10" t="s">
        <v>31</v>
      </c>
      <c r="C151" s="10"/>
      <c r="D151" s="10" t="s">
        <v>38</v>
      </c>
      <c r="E151" s="11">
        <v>246</v>
      </c>
      <c r="F151" s="11">
        <v>209</v>
      </c>
      <c r="G151" s="11">
        <v>172</v>
      </c>
      <c r="H151" s="11">
        <v>198</v>
      </c>
      <c r="I151" s="11">
        <v>224</v>
      </c>
      <c r="J151" s="11">
        <v>234</v>
      </c>
      <c r="K151" s="11">
        <v>237</v>
      </c>
      <c r="L151" t="str">
        <f t="shared" si="2"/>
        <v>El Salvador_Peru</v>
      </c>
    </row>
    <row r="152" spans="1:12" x14ac:dyDescent="0.3">
      <c r="A152" s="9">
        <v>30669</v>
      </c>
      <c r="B152" s="10" t="s">
        <v>31</v>
      </c>
      <c r="C152" s="10"/>
      <c r="D152" s="10" t="s">
        <v>16</v>
      </c>
      <c r="E152" s="11">
        <v>8033</v>
      </c>
      <c r="F152" s="11">
        <v>6306</v>
      </c>
      <c r="G152" s="11">
        <v>4603</v>
      </c>
      <c r="H152" s="11">
        <v>4871</v>
      </c>
      <c r="I152" s="11">
        <v>5176</v>
      </c>
      <c r="J152" s="11">
        <v>5397</v>
      </c>
      <c r="K152" s="11">
        <v>5488</v>
      </c>
      <c r="L152" t="str">
        <f t="shared" si="2"/>
        <v>El Salvador_United States</v>
      </c>
    </row>
    <row r="153" spans="1:12" x14ac:dyDescent="0.3">
      <c r="A153" s="9">
        <v>30670</v>
      </c>
      <c r="B153" s="10" t="s">
        <v>31</v>
      </c>
      <c r="C153" s="10"/>
      <c r="D153" s="10" t="s">
        <v>39</v>
      </c>
      <c r="E153" s="11">
        <v>120</v>
      </c>
      <c r="F153" s="11">
        <v>94</v>
      </c>
      <c r="G153" s="11">
        <v>67</v>
      </c>
      <c r="H153" s="11">
        <v>70</v>
      </c>
      <c r="I153" s="11">
        <v>72</v>
      </c>
      <c r="J153" s="11">
        <v>75</v>
      </c>
      <c r="K153" s="11">
        <v>76</v>
      </c>
      <c r="L153" t="str">
        <f t="shared" si="2"/>
        <v>El Salvador_Uruguay</v>
      </c>
    </row>
    <row r="154" spans="1:12" x14ac:dyDescent="0.3">
      <c r="A154" s="9">
        <v>30671</v>
      </c>
      <c r="B154" s="10" t="s">
        <v>31</v>
      </c>
      <c r="C154" s="10"/>
      <c r="D154" s="10" t="s">
        <v>18</v>
      </c>
      <c r="E154" s="11">
        <v>258</v>
      </c>
      <c r="F154" s="11">
        <v>219</v>
      </c>
      <c r="G154" s="11">
        <v>179</v>
      </c>
      <c r="H154" s="11">
        <v>206</v>
      </c>
      <c r="I154" s="11">
        <v>232</v>
      </c>
      <c r="J154" s="11">
        <v>242</v>
      </c>
      <c r="K154" s="11">
        <v>245</v>
      </c>
      <c r="L154" t="str">
        <f t="shared" si="2"/>
        <v>El Salvador_Venezuela</v>
      </c>
    </row>
    <row r="155" spans="1:12" x14ac:dyDescent="0.3">
      <c r="A155" s="12">
        <v>30721</v>
      </c>
      <c r="B155" s="13" t="s">
        <v>32</v>
      </c>
      <c r="C155" s="13"/>
      <c r="D155" s="13" t="s">
        <v>24</v>
      </c>
      <c r="E155" s="14">
        <v>285</v>
      </c>
      <c r="F155" s="14">
        <v>318</v>
      </c>
      <c r="G155" s="14">
        <v>350</v>
      </c>
      <c r="H155" s="14">
        <v>416</v>
      </c>
      <c r="I155" s="14">
        <v>482</v>
      </c>
      <c r="J155" s="14">
        <v>529</v>
      </c>
      <c r="K155" s="14">
        <v>595</v>
      </c>
      <c r="L155" t="str">
        <f t="shared" si="2"/>
        <v>Guatemala_Argentina</v>
      </c>
    </row>
    <row r="156" spans="1:12" x14ac:dyDescent="0.3">
      <c r="A156" s="12">
        <v>30723</v>
      </c>
      <c r="B156" s="13" t="s">
        <v>32</v>
      </c>
      <c r="C156" s="13"/>
      <c r="D156" s="13" t="s">
        <v>1</v>
      </c>
      <c r="E156" s="14">
        <v>67</v>
      </c>
      <c r="F156" s="14">
        <v>77</v>
      </c>
      <c r="G156" s="14">
        <v>86</v>
      </c>
      <c r="H156" s="14">
        <v>102</v>
      </c>
      <c r="I156" s="14">
        <v>118</v>
      </c>
      <c r="J156" s="14">
        <v>130</v>
      </c>
      <c r="K156" s="14">
        <v>145</v>
      </c>
      <c r="L156" t="str">
        <f t="shared" si="2"/>
        <v>Guatemala_Bolivia</v>
      </c>
    </row>
    <row r="157" spans="1:12" x14ac:dyDescent="0.3">
      <c r="A157" s="12">
        <v>30724</v>
      </c>
      <c r="B157" s="13" t="s">
        <v>32</v>
      </c>
      <c r="C157" s="13"/>
      <c r="D157" s="13" t="s">
        <v>25</v>
      </c>
      <c r="E157" s="14">
        <v>77</v>
      </c>
      <c r="F157" s="14">
        <v>114</v>
      </c>
      <c r="G157" s="14">
        <v>151</v>
      </c>
      <c r="H157" s="14">
        <v>180</v>
      </c>
      <c r="I157" s="14">
        <v>209</v>
      </c>
      <c r="J157" s="14">
        <v>229</v>
      </c>
      <c r="K157" s="14">
        <v>257</v>
      </c>
      <c r="L157" t="str">
        <f t="shared" si="2"/>
        <v>Guatemala_Brazil</v>
      </c>
    </row>
    <row r="158" spans="1:12" x14ac:dyDescent="0.3">
      <c r="A158" s="12">
        <v>30726</v>
      </c>
      <c r="B158" s="13" t="s">
        <v>32</v>
      </c>
      <c r="C158" s="13"/>
      <c r="D158" s="13" t="s">
        <v>26</v>
      </c>
      <c r="E158" s="14">
        <v>272</v>
      </c>
      <c r="F158" s="14">
        <v>262</v>
      </c>
      <c r="G158" s="14">
        <v>251</v>
      </c>
      <c r="H158" s="14">
        <v>298</v>
      </c>
      <c r="I158" s="14">
        <v>345</v>
      </c>
      <c r="J158" s="14">
        <v>379</v>
      </c>
      <c r="K158" s="14">
        <v>426</v>
      </c>
      <c r="L158" t="str">
        <f t="shared" si="2"/>
        <v>Guatemala_Canada</v>
      </c>
    </row>
    <row r="159" spans="1:12" x14ac:dyDescent="0.3">
      <c r="A159" s="12">
        <v>30727</v>
      </c>
      <c r="B159" s="13" t="s">
        <v>32</v>
      </c>
      <c r="C159" s="13"/>
      <c r="D159" s="13" t="s">
        <v>27</v>
      </c>
      <c r="E159" s="14">
        <v>271</v>
      </c>
      <c r="F159" s="14">
        <v>231</v>
      </c>
      <c r="G159" s="14">
        <v>191</v>
      </c>
      <c r="H159" s="14">
        <v>227</v>
      </c>
      <c r="I159" s="14">
        <v>262</v>
      </c>
      <c r="J159" s="14">
        <v>287</v>
      </c>
      <c r="K159" s="14">
        <v>322</v>
      </c>
      <c r="L159" t="str">
        <f t="shared" si="2"/>
        <v>Guatemala_Chile</v>
      </c>
    </row>
    <row r="160" spans="1:12" x14ac:dyDescent="0.3">
      <c r="A160" s="12">
        <v>30729</v>
      </c>
      <c r="B160" s="13" t="s">
        <v>32</v>
      </c>
      <c r="C160" s="13"/>
      <c r="D160" s="13" t="s">
        <v>28</v>
      </c>
      <c r="E160" s="14">
        <v>490</v>
      </c>
      <c r="F160" s="14">
        <v>610</v>
      </c>
      <c r="G160" s="14">
        <v>730</v>
      </c>
      <c r="H160" s="14">
        <v>868</v>
      </c>
      <c r="I160" s="14">
        <v>1005</v>
      </c>
      <c r="J160" s="14">
        <v>1102</v>
      </c>
      <c r="K160" s="14">
        <v>1242</v>
      </c>
      <c r="L160" t="str">
        <f t="shared" si="2"/>
        <v>Guatemala_Colombia</v>
      </c>
    </row>
    <row r="161" spans="1:12" x14ac:dyDescent="0.3">
      <c r="A161" s="12">
        <v>30730</v>
      </c>
      <c r="B161" s="13" t="s">
        <v>32</v>
      </c>
      <c r="C161" s="13"/>
      <c r="D161" s="13" t="s">
        <v>29</v>
      </c>
      <c r="E161" s="14">
        <v>758</v>
      </c>
      <c r="F161" s="14">
        <v>746</v>
      </c>
      <c r="G161" s="14">
        <v>734</v>
      </c>
      <c r="H161" s="14">
        <v>872</v>
      </c>
      <c r="I161" s="14">
        <v>1010</v>
      </c>
      <c r="J161" s="14">
        <v>1108</v>
      </c>
      <c r="K161" s="14">
        <v>1248</v>
      </c>
      <c r="L161" t="str">
        <f t="shared" si="2"/>
        <v>Guatemala_Costa Rica</v>
      </c>
    </row>
    <row r="162" spans="1:12" x14ac:dyDescent="0.3">
      <c r="A162" s="12">
        <v>30733</v>
      </c>
      <c r="B162" s="13" t="s">
        <v>32</v>
      </c>
      <c r="C162" s="13"/>
      <c r="D162" s="13" t="s">
        <v>30</v>
      </c>
      <c r="E162" s="14">
        <v>120</v>
      </c>
      <c r="F162" s="14">
        <v>113</v>
      </c>
      <c r="G162" s="14">
        <v>105</v>
      </c>
      <c r="H162" s="14">
        <v>125</v>
      </c>
      <c r="I162" s="14">
        <v>145</v>
      </c>
      <c r="J162" s="14">
        <v>160</v>
      </c>
      <c r="K162" s="14">
        <v>178</v>
      </c>
      <c r="L162" t="str">
        <f t="shared" si="2"/>
        <v>Guatemala_Ecuador</v>
      </c>
    </row>
    <row r="163" spans="1:12" x14ac:dyDescent="0.3">
      <c r="A163" s="12">
        <v>30734</v>
      </c>
      <c r="B163" s="13" t="s">
        <v>32</v>
      </c>
      <c r="C163" s="13"/>
      <c r="D163" s="13" t="s">
        <v>31</v>
      </c>
      <c r="E163" s="14">
        <v>236655</v>
      </c>
      <c r="F163" s="14">
        <v>124346</v>
      </c>
      <c r="G163" s="14">
        <v>12037</v>
      </c>
      <c r="H163" s="14">
        <v>14364</v>
      </c>
      <c r="I163" s="14">
        <v>16691</v>
      </c>
      <c r="J163" s="14">
        <v>18301</v>
      </c>
      <c r="K163" s="14">
        <v>20683</v>
      </c>
      <c r="L163" t="str">
        <f t="shared" si="2"/>
        <v>Guatemala_El Salvador</v>
      </c>
    </row>
    <row r="164" spans="1:12" x14ac:dyDescent="0.3">
      <c r="A164" s="12">
        <v>30741</v>
      </c>
      <c r="B164" s="13" t="s">
        <v>32</v>
      </c>
      <c r="C164" s="13"/>
      <c r="D164" s="13" t="s">
        <v>33</v>
      </c>
      <c r="E164" s="14">
        <v>4768</v>
      </c>
      <c r="F164" s="14">
        <v>5032</v>
      </c>
      <c r="G164" s="14">
        <v>5295</v>
      </c>
      <c r="H164" s="14">
        <v>6294</v>
      </c>
      <c r="I164" s="14">
        <v>7292</v>
      </c>
      <c r="J164" s="14">
        <v>7995</v>
      </c>
      <c r="K164" s="14">
        <v>9023</v>
      </c>
      <c r="L164" t="str">
        <f t="shared" si="2"/>
        <v>Guatemala_Honduras</v>
      </c>
    </row>
    <row r="165" spans="1:12" x14ac:dyDescent="0.3">
      <c r="A165" s="12">
        <v>30749</v>
      </c>
      <c r="B165" s="13" t="s">
        <v>32</v>
      </c>
      <c r="C165" s="13"/>
      <c r="D165" s="13" t="s">
        <v>34</v>
      </c>
      <c r="E165" s="14">
        <v>5402</v>
      </c>
      <c r="F165" s="14">
        <v>8236</v>
      </c>
      <c r="G165" s="14">
        <v>11070</v>
      </c>
      <c r="H165" s="14">
        <v>13160</v>
      </c>
      <c r="I165" s="14">
        <v>15250</v>
      </c>
      <c r="J165" s="14">
        <v>16720</v>
      </c>
      <c r="K165" s="14">
        <v>18872</v>
      </c>
      <c r="L165" t="str">
        <f t="shared" si="2"/>
        <v>Guatemala_Mexico</v>
      </c>
    </row>
    <row r="166" spans="1:12" x14ac:dyDescent="0.3">
      <c r="A166" s="12">
        <v>30751</v>
      </c>
      <c r="B166" s="13" t="s">
        <v>32</v>
      </c>
      <c r="C166" s="13"/>
      <c r="D166" s="13" t="s">
        <v>35</v>
      </c>
      <c r="E166" s="14">
        <v>3726</v>
      </c>
      <c r="F166" s="14">
        <v>4565</v>
      </c>
      <c r="G166" s="14">
        <v>5404</v>
      </c>
      <c r="H166" s="14">
        <v>6424</v>
      </c>
      <c r="I166" s="14">
        <v>7443</v>
      </c>
      <c r="J166" s="14">
        <v>8161</v>
      </c>
      <c r="K166" s="14">
        <v>9211</v>
      </c>
      <c r="L166" t="str">
        <f t="shared" si="2"/>
        <v>Guatemala_Nicaragua</v>
      </c>
    </row>
    <row r="167" spans="1:12" x14ac:dyDescent="0.3">
      <c r="A167" s="12">
        <v>30753</v>
      </c>
      <c r="B167" s="13" t="s">
        <v>32</v>
      </c>
      <c r="C167" s="13"/>
      <c r="D167" s="13" t="s">
        <v>36</v>
      </c>
      <c r="E167" s="14">
        <v>242</v>
      </c>
      <c r="F167" s="14">
        <v>216</v>
      </c>
      <c r="G167" s="14">
        <v>190</v>
      </c>
      <c r="H167" s="14">
        <v>226</v>
      </c>
      <c r="I167" s="14">
        <v>261</v>
      </c>
      <c r="J167" s="14">
        <v>286</v>
      </c>
      <c r="K167" s="14">
        <v>321</v>
      </c>
      <c r="L167" t="str">
        <f t="shared" si="2"/>
        <v>Guatemala_Panama</v>
      </c>
    </row>
    <row r="168" spans="1:12" x14ac:dyDescent="0.3">
      <c r="A168" s="12">
        <v>30754</v>
      </c>
      <c r="B168" s="13" t="s">
        <v>32</v>
      </c>
      <c r="C168" s="13"/>
      <c r="D168" s="13" t="s">
        <v>37</v>
      </c>
      <c r="E168" s="14">
        <v>72</v>
      </c>
      <c r="F168" s="14">
        <v>55</v>
      </c>
      <c r="G168" s="14">
        <v>38</v>
      </c>
      <c r="H168" s="14">
        <v>45</v>
      </c>
      <c r="I168" s="14">
        <v>51</v>
      </c>
      <c r="J168" s="14">
        <v>57</v>
      </c>
      <c r="K168" s="14">
        <v>62</v>
      </c>
      <c r="L168" t="str">
        <f t="shared" si="2"/>
        <v>Guatemala_Paraguay</v>
      </c>
    </row>
    <row r="169" spans="1:12" x14ac:dyDescent="0.3">
      <c r="A169" s="12">
        <v>30755</v>
      </c>
      <c r="B169" s="13" t="s">
        <v>32</v>
      </c>
      <c r="C169" s="13"/>
      <c r="D169" s="13" t="s">
        <v>38</v>
      </c>
      <c r="E169" s="14">
        <v>210</v>
      </c>
      <c r="F169" s="14">
        <v>249</v>
      </c>
      <c r="G169" s="14">
        <v>288</v>
      </c>
      <c r="H169" s="14">
        <v>343</v>
      </c>
      <c r="I169" s="14">
        <v>397</v>
      </c>
      <c r="J169" s="14">
        <v>436</v>
      </c>
      <c r="K169" s="14">
        <v>491</v>
      </c>
      <c r="L169" t="str">
        <f t="shared" si="2"/>
        <v>Guatemala_Peru</v>
      </c>
    </row>
    <row r="170" spans="1:12" x14ac:dyDescent="0.3">
      <c r="A170" s="12">
        <v>30767</v>
      </c>
      <c r="B170" s="13" t="s">
        <v>32</v>
      </c>
      <c r="C170" s="13"/>
      <c r="D170" s="13" t="s">
        <v>16</v>
      </c>
      <c r="E170" s="14">
        <v>5822</v>
      </c>
      <c r="F170" s="14">
        <v>5639</v>
      </c>
      <c r="G170" s="14">
        <v>5456</v>
      </c>
      <c r="H170" s="14">
        <v>6473</v>
      </c>
      <c r="I170" s="14">
        <v>7514</v>
      </c>
      <c r="J170" s="14">
        <v>8239</v>
      </c>
      <c r="K170" s="14">
        <v>9299</v>
      </c>
      <c r="L170" t="str">
        <f t="shared" si="2"/>
        <v>Guatemala_United States</v>
      </c>
    </row>
    <row r="171" spans="1:12" x14ac:dyDescent="0.3">
      <c r="A171" s="12">
        <v>30768</v>
      </c>
      <c r="B171" s="13" t="s">
        <v>32</v>
      </c>
      <c r="C171" s="13"/>
      <c r="D171" s="13" t="s">
        <v>39</v>
      </c>
      <c r="E171" s="14">
        <v>95</v>
      </c>
      <c r="F171" s="14">
        <v>92</v>
      </c>
      <c r="G171" s="14">
        <v>89</v>
      </c>
      <c r="H171" s="14">
        <v>106</v>
      </c>
      <c r="I171" s="14">
        <v>122</v>
      </c>
      <c r="J171" s="14">
        <v>134</v>
      </c>
      <c r="K171" s="14">
        <v>149</v>
      </c>
      <c r="L171" t="str">
        <f t="shared" si="2"/>
        <v>Guatemala_Uruguay</v>
      </c>
    </row>
    <row r="172" spans="1:12" x14ac:dyDescent="0.3">
      <c r="A172" s="12">
        <v>30769</v>
      </c>
      <c r="B172" s="13" t="s">
        <v>32</v>
      </c>
      <c r="C172" s="13"/>
      <c r="D172" s="13" t="s">
        <v>18</v>
      </c>
      <c r="E172" s="14">
        <v>113</v>
      </c>
      <c r="F172" s="14">
        <v>144</v>
      </c>
      <c r="G172" s="14">
        <v>175</v>
      </c>
      <c r="H172" s="14">
        <v>211</v>
      </c>
      <c r="I172" s="14">
        <v>246</v>
      </c>
      <c r="J172" s="14">
        <v>270</v>
      </c>
      <c r="K172" s="14">
        <v>303</v>
      </c>
      <c r="L172" t="str">
        <f t="shared" si="2"/>
        <v>Guatemala_Venezuela</v>
      </c>
    </row>
    <row r="173" spans="1:12" x14ac:dyDescent="0.3">
      <c r="A173" s="9">
        <v>30819</v>
      </c>
      <c r="B173" s="10" t="s">
        <v>33</v>
      </c>
      <c r="C173" s="10"/>
      <c r="D173" s="10" t="s">
        <v>24</v>
      </c>
      <c r="E173" s="11">
        <v>145</v>
      </c>
      <c r="F173" s="11">
        <v>144</v>
      </c>
      <c r="G173" s="11">
        <v>142</v>
      </c>
      <c r="H173" s="11">
        <v>139</v>
      </c>
      <c r="I173" s="11">
        <v>136</v>
      </c>
      <c r="J173" s="11">
        <v>191</v>
      </c>
      <c r="K173" s="11">
        <v>194</v>
      </c>
      <c r="L173" t="str">
        <f t="shared" si="2"/>
        <v>Honduras_Argentina</v>
      </c>
    </row>
    <row r="174" spans="1:12" x14ac:dyDescent="0.3">
      <c r="A174" s="9">
        <v>30821</v>
      </c>
      <c r="B174" s="10" t="s">
        <v>33</v>
      </c>
      <c r="C174" s="10"/>
      <c r="D174" s="10" t="s">
        <v>1</v>
      </c>
      <c r="E174" s="11">
        <v>112</v>
      </c>
      <c r="F174" s="11">
        <v>111</v>
      </c>
      <c r="G174" s="11">
        <v>110</v>
      </c>
      <c r="H174" s="11">
        <v>108</v>
      </c>
      <c r="I174" s="11">
        <v>105</v>
      </c>
      <c r="J174" s="11">
        <v>147</v>
      </c>
      <c r="K174" s="11">
        <v>149</v>
      </c>
      <c r="L174" t="str">
        <f t="shared" si="2"/>
        <v>Honduras_Bolivia</v>
      </c>
    </row>
    <row r="175" spans="1:12" x14ac:dyDescent="0.3">
      <c r="A175" s="9">
        <v>30822</v>
      </c>
      <c r="B175" s="10" t="s">
        <v>33</v>
      </c>
      <c r="C175" s="10"/>
      <c r="D175" s="10" t="s">
        <v>25</v>
      </c>
      <c r="E175" s="11">
        <v>179</v>
      </c>
      <c r="F175" s="11">
        <v>178</v>
      </c>
      <c r="G175" s="11">
        <v>176</v>
      </c>
      <c r="H175" s="11">
        <v>173</v>
      </c>
      <c r="I175" s="11">
        <v>169</v>
      </c>
      <c r="J175" s="11">
        <v>237</v>
      </c>
      <c r="K175" s="11">
        <v>240</v>
      </c>
      <c r="L175" t="str">
        <f t="shared" si="2"/>
        <v>Honduras_Brazil</v>
      </c>
    </row>
    <row r="176" spans="1:12" x14ac:dyDescent="0.3">
      <c r="A176" s="9">
        <v>30824</v>
      </c>
      <c r="B176" s="10" t="s">
        <v>33</v>
      </c>
      <c r="C176" s="10"/>
      <c r="D176" s="10" t="s">
        <v>26</v>
      </c>
      <c r="E176" s="11">
        <v>264</v>
      </c>
      <c r="F176" s="11">
        <v>262</v>
      </c>
      <c r="G176" s="11">
        <v>259</v>
      </c>
      <c r="H176" s="11">
        <v>254</v>
      </c>
      <c r="I176" s="11">
        <v>249</v>
      </c>
      <c r="J176" s="11">
        <v>349</v>
      </c>
      <c r="K176" s="11">
        <v>355</v>
      </c>
      <c r="L176" t="str">
        <f t="shared" si="2"/>
        <v>Honduras_Canada</v>
      </c>
    </row>
    <row r="177" spans="1:12" x14ac:dyDescent="0.3">
      <c r="A177" s="9">
        <v>30826</v>
      </c>
      <c r="B177" s="10" t="s">
        <v>33</v>
      </c>
      <c r="C177" s="10"/>
      <c r="D177" s="10" t="s">
        <v>27</v>
      </c>
      <c r="E177" s="11">
        <v>273</v>
      </c>
      <c r="F177" s="11">
        <v>252</v>
      </c>
      <c r="G177" s="11">
        <v>230</v>
      </c>
      <c r="H177" s="11">
        <v>226</v>
      </c>
      <c r="I177" s="11">
        <v>221</v>
      </c>
      <c r="J177" s="11">
        <v>309</v>
      </c>
      <c r="K177" s="11">
        <v>314</v>
      </c>
      <c r="L177" t="str">
        <f t="shared" si="2"/>
        <v>Honduras_Chile</v>
      </c>
    </row>
    <row r="178" spans="1:12" x14ac:dyDescent="0.3">
      <c r="A178" s="9">
        <v>30828</v>
      </c>
      <c r="B178" s="10" t="s">
        <v>33</v>
      </c>
      <c r="C178" s="10"/>
      <c r="D178" s="10" t="s">
        <v>28</v>
      </c>
      <c r="E178" s="11">
        <v>409</v>
      </c>
      <c r="F178" s="11">
        <v>527</v>
      </c>
      <c r="G178" s="11">
        <v>644</v>
      </c>
      <c r="H178" s="11">
        <v>631</v>
      </c>
      <c r="I178" s="11">
        <v>618</v>
      </c>
      <c r="J178" s="11">
        <v>868</v>
      </c>
      <c r="K178" s="11">
        <v>886</v>
      </c>
      <c r="L178" t="str">
        <f t="shared" si="2"/>
        <v>Honduras_Colombia</v>
      </c>
    </row>
    <row r="179" spans="1:12" x14ac:dyDescent="0.3">
      <c r="A179" s="9">
        <v>30829</v>
      </c>
      <c r="B179" s="10" t="s">
        <v>33</v>
      </c>
      <c r="C179" s="10"/>
      <c r="D179" s="10" t="s">
        <v>29</v>
      </c>
      <c r="E179" s="11">
        <v>594</v>
      </c>
      <c r="F179" s="11">
        <v>617</v>
      </c>
      <c r="G179" s="11">
        <v>639</v>
      </c>
      <c r="H179" s="11">
        <v>626</v>
      </c>
      <c r="I179" s="11">
        <v>613</v>
      </c>
      <c r="J179" s="11">
        <v>861</v>
      </c>
      <c r="K179" s="11">
        <v>879</v>
      </c>
      <c r="L179" t="str">
        <f t="shared" si="2"/>
        <v>Honduras_Costa Rica</v>
      </c>
    </row>
    <row r="180" spans="1:12" x14ac:dyDescent="0.3">
      <c r="A180" s="9">
        <v>30832</v>
      </c>
      <c r="B180" s="10" t="s">
        <v>33</v>
      </c>
      <c r="C180" s="10"/>
      <c r="D180" s="10" t="s">
        <v>30</v>
      </c>
      <c r="E180" s="11">
        <v>348</v>
      </c>
      <c r="F180" s="11">
        <v>345</v>
      </c>
      <c r="G180" s="11">
        <v>342</v>
      </c>
      <c r="H180" s="11">
        <v>335</v>
      </c>
      <c r="I180" s="11">
        <v>328</v>
      </c>
      <c r="J180" s="11">
        <v>461</v>
      </c>
      <c r="K180" s="11">
        <v>470</v>
      </c>
      <c r="L180" t="str">
        <f t="shared" si="2"/>
        <v>Honduras_Ecuador</v>
      </c>
    </row>
    <row r="181" spans="1:12" x14ac:dyDescent="0.3">
      <c r="A181" s="9">
        <v>30833</v>
      </c>
      <c r="B181" s="10" t="s">
        <v>33</v>
      </c>
      <c r="C181" s="10"/>
      <c r="D181" s="10" t="s">
        <v>31</v>
      </c>
      <c r="E181" s="11">
        <v>114810</v>
      </c>
      <c r="F181" s="11">
        <v>60692</v>
      </c>
      <c r="G181" s="11">
        <v>6574</v>
      </c>
      <c r="H181" s="11">
        <v>6439</v>
      </c>
      <c r="I181" s="11">
        <v>6303</v>
      </c>
      <c r="J181" s="11">
        <v>8853</v>
      </c>
      <c r="K181" s="11">
        <v>9071</v>
      </c>
      <c r="L181" t="str">
        <f t="shared" si="2"/>
        <v>Honduras_El Salvador</v>
      </c>
    </row>
    <row r="182" spans="1:12" x14ac:dyDescent="0.3">
      <c r="A182" s="9">
        <v>30837</v>
      </c>
      <c r="B182" s="10" t="s">
        <v>33</v>
      </c>
      <c r="C182" s="10"/>
      <c r="D182" s="10" t="s">
        <v>32</v>
      </c>
      <c r="E182" s="11">
        <v>3250</v>
      </c>
      <c r="F182" s="11">
        <v>3336</v>
      </c>
      <c r="G182" s="11">
        <v>3421</v>
      </c>
      <c r="H182" s="11">
        <v>3351</v>
      </c>
      <c r="I182" s="11">
        <v>3280</v>
      </c>
      <c r="J182" s="11">
        <v>4607</v>
      </c>
      <c r="K182" s="11">
        <v>4711</v>
      </c>
      <c r="L182" t="str">
        <f t="shared" si="2"/>
        <v>Honduras_Guatemala</v>
      </c>
    </row>
    <row r="183" spans="1:12" x14ac:dyDescent="0.3">
      <c r="A183" s="9">
        <v>30846</v>
      </c>
      <c r="B183" s="10" t="s">
        <v>33</v>
      </c>
      <c r="C183" s="10"/>
      <c r="D183" s="10" t="s">
        <v>34</v>
      </c>
      <c r="E183" s="11">
        <v>795</v>
      </c>
      <c r="F183" s="11">
        <v>980</v>
      </c>
      <c r="G183" s="11">
        <v>1164</v>
      </c>
      <c r="H183" s="11">
        <v>1140</v>
      </c>
      <c r="I183" s="11">
        <v>1116</v>
      </c>
      <c r="J183" s="11">
        <v>1567</v>
      </c>
      <c r="K183" s="11">
        <v>1602</v>
      </c>
      <c r="L183" t="str">
        <f t="shared" si="2"/>
        <v>Honduras_Mexico</v>
      </c>
    </row>
    <row r="184" spans="1:12" x14ac:dyDescent="0.3">
      <c r="A184" s="9">
        <v>30848</v>
      </c>
      <c r="B184" s="10" t="s">
        <v>33</v>
      </c>
      <c r="C184" s="10"/>
      <c r="D184" s="10" t="s">
        <v>35</v>
      </c>
      <c r="E184" s="11">
        <v>142802</v>
      </c>
      <c r="F184" s="11">
        <v>74273</v>
      </c>
      <c r="G184" s="11">
        <v>5768</v>
      </c>
      <c r="H184" s="11">
        <v>5649</v>
      </c>
      <c r="I184" s="11">
        <v>5530</v>
      </c>
      <c r="J184" s="11">
        <v>7767</v>
      </c>
      <c r="K184" s="11">
        <v>7943</v>
      </c>
      <c r="L184" t="str">
        <f t="shared" si="2"/>
        <v>Honduras_Nicaragua</v>
      </c>
    </row>
    <row r="185" spans="1:12" x14ac:dyDescent="0.3">
      <c r="A185" s="9">
        <v>30849</v>
      </c>
      <c r="B185" s="10" t="s">
        <v>33</v>
      </c>
      <c r="C185" s="10"/>
      <c r="D185" s="10" t="s">
        <v>36</v>
      </c>
      <c r="E185" s="11">
        <v>190</v>
      </c>
      <c r="F185" s="11">
        <v>243</v>
      </c>
      <c r="G185" s="11">
        <v>296</v>
      </c>
      <c r="H185" s="11">
        <v>290</v>
      </c>
      <c r="I185" s="11">
        <v>284</v>
      </c>
      <c r="J185" s="11">
        <v>398</v>
      </c>
      <c r="K185" s="11">
        <v>406</v>
      </c>
      <c r="L185" t="str">
        <f t="shared" si="2"/>
        <v>Honduras_Panama</v>
      </c>
    </row>
    <row r="186" spans="1:12" x14ac:dyDescent="0.3">
      <c r="A186" s="9">
        <v>30850</v>
      </c>
      <c r="B186" s="10" t="s">
        <v>33</v>
      </c>
      <c r="C186" s="10"/>
      <c r="D186" s="10" t="s">
        <v>37</v>
      </c>
      <c r="E186" s="11">
        <v>27</v>
      </c>
      <c r="F186" s="11">
        <v>27</v>
      </c>
      <c r="G186" s="11">
        <v>26</v>
      </c>
      <c r="H186" s="11">
        <v>26</v>
      </c>
      <c r="I186" s="11">
        <v>25</v>
      </c>
      <c r="J186" s="11">
        <v>35</v>
      </c>
      <c r="K186" s="11">
        <v>35</v>
      </c>
      <c r="L186" t="str">
        <f t="shared" si="2"/>
        <v>Honduras_Paraguay</v>
      </c>
    </row>
    <row r="187" spans="1:12" x14ac:dyDescent="0.3">
      <c r="A187" s="9">
        <v>30851</v>
      </c>
      <c r="B187" s="10" t="s">
        <v>33</v>
      </c>
      <c r="C187" s="10"/>
      <c r="D187" s="10" t="s">
        <v>38</v>
      </c>
      <c r="E187" s="11">
        <v>291</v>
      </c>
      <c r="F187" s="11">
        <v>288</v>
      </c>
      <c r="G187" s="11">
        <v>285</v>
      </c>
      <c r="H187" s="11">
        <v>280</v>
      </c>
      <c r="I187" s="11">
        <v>274</v>
      </c>
      <c r="J187" s="11">
        <v>384</v>
      </c>
      <c r="K187" s="11">
        <v>392</v>
      </c>
      <c r="L187" t="str">
        <f t="shared" si="2"/>
        <v>Honduras_Peru</v>
      </c>
    </row>
    <row r="188" spans="1:12" x14ac:dyDescent="0.3">
      <c r="A188" s="9">
        <v>30858</v>
      </c>
      <c r="B188" s="10" t="s">
        <v>33</v>
      </c>
      <c r="C188" s="10"/>
      <c r="D188" s="10" t="s">
        <v>16</v>
      </c>
      <c r="E188" s="11">
        <v>2692</v>
      </c>
      <c r="F188" s="11">
        <v>3877</v>
      </c>
      <c r="G188" s="11">
        <v>5061</v>
      </c>
      <c r="H188" s="11">
        <v>4946</v>
      </c>
      <c r="I188" s="11">
        <v>4851</v>
      </c>
      <c r="J188" s="11">
        <v>6799</v>
      </c>
      <c r="K188" s="11">
        <v>6954</v>
      </c>
      <c r="L188" t="str">
        <f t="shared" si="2"/>
        <v>Honduras_United States</v>
      </c>
    </row>
    <row r="189" spans="1:12" x14ac:dyDescent="0.3">
      <c r="A189" s="9">
        <v>30859</v>
      </c>
      <c r="B189" s="10" t="s">
        <v>33</v>
      </c>
      <c r="C189" s="10"/>
      <c r="D189" s="10" t="s">
        <v>39</v>
      </c>
      <c r="E189" s="11">
        <v>51</v>
      </c>
      <c r="F189" s="11">
        <v>51</v>
      </c>
      <c r="G189" s="11">
        <v>50</v>
      </c>
      <c r="H189" s="11">
        <v>49</v>
      </c>
      <c r="I189" s="11">
        <v>48</v>
      </c>
      <c r="J189" s="11">
        <v>66</v>
      </c>
      <c r="K189" s="11">
        <v>67</v>
      </c>
      <c r="L189" t="str">
        <f t="shared" si="2"/>
        <v>Honduras_Uruguay</v>
      </c>
    </row>
    <row r="190" spans="1:12" x14ac:dyDescent="0.3">
      <c r="A190" s="9">
        <v>30860</v>
      </c>
      <c r="B190" s="10" t="s">
        <v>33</v>
      </c>
      <c r="C190" s="10"/>
      <c r="D190" s="10" t="s">
        <v>18</v>
      </c>
      <c r="E190" s="11">
        <v>75</v>
      </c>
      <c r="F190" s="11">
        <v>74</v>
      </c>
      <c r="G190" s="11">
        <v>73</v>
      </c>
      <c r="H190" s="11">
        <v>73</v>
      </c>
      <c r="I190" s="11">
        <v>73</v>
      </c>
      <c r="J190" s="11">
        <v>102</v>
      </c>
      <c r="K190" s="11">
        <v>103</v>
      </c>
      <c r="L190" t="str">
        <f t="shared" si="2"/>
        <v>Honduras_Venezuela</v>
      </c>
    </row>
    <row r="191" spans="1:12" x14ac:dyDescent="0.3">
      <c r="A191" s="12">
        <v>30912</v>
      </c>
      <c r="B191" s="13" t="s">
        <v>34</v>
      </c>
      <c r="C191" s="13"/>
      <c r="D191" s="13" t="s">
        <v>24</v>
      </c>
      <c r="E191" s="14">
        <v>4340</v>
      </c>
      <c r="F191" s="14">
        <v>5366</v>
      </c>
      <c r="G191" s="14">
        <v>6625</v>
      </c>
      <c r="H191" s="14">
        <v>9831</v>
      </c>
      <c r="I191" s="14">
        <v>14174</v>
      </c>
      <c r="J191" s="14">
        <v>15214</v>
      </c>
      <c r="K191" s="14">
        <v>16688</v>
      </c>
      <c r="L191" t="str">
        <f t="shared" si="2"/>
        <v>Mexico_Argentina</v>
      </c>
    </row>
    <row r="192" spans="1:12" x14ac:dyDescent="0.3">
      <c r="A192" s="12">
        <v>30918</v>
      </c>
      <c r="B192" s="13" t="s">
        <v>34</v>
      </c>
      <c r="C192" s="13"/>
      <c r="D192" s="13" t="s">
        <v>1</v>
      </c>
      <c r="E192" s="14">
        <v>1519</v>
      </c>
      <c r="F192" s="14">
        <v>1725</v>
      </c>
      <c r="G192" s="14">
        <v>2007</v>
      </c>
      <c r="H192" s="14">
        <v>1889</v>
      </c>
      <c r="I192" s="14">
        <v>1989</v>
      </c>
      <c r="J192" s="14">
        <v>1599</v>
      </c>
      <c r="K192" s="14">
        <v>1753</v>
      </c>
      <c r="L192" t="str">
        <f t="shared" si="2"/>
        <v>Mexico_Bolivia</v>
      </c>
    </row>
    <row r="193" spans="1:12" x14ac:dyDescent="0.3">
      <c r="A193" s="12">
        <v>30919</v>
      </c>
      <c r="B193" s="13" t="s">
        <v>34</v>
      </c>
      <c r="C193" s="13"/>
      <c r="D193" s="13" t="s">
        <v>25</v>
      </c>
      <c r="E193" s="14">
        <v>1682</v>
      </c>
      <c r="F193" s="14">
        <v>2482</v>
      </c>
      <c r="G193" s="14">
        <v>3391</v>
      </c>
      <c r="H193" s="14">
        <v>3745</v>
      </c>
      <c r="I193" s="14">
        <v>4533</v>
      </c>
      <c r="J193" s="14">
        <v>6350</v>
      </c>
      <c r="K193" s="14">
        <v>6964</v>
      </c>
      <c r="L193" t="str">
        <f t="shared" si="2"/>
        <v>Mexico_Brazil</v>
      </c>
    </row>
    <row r="194" spans="1:12" x14ac:dyDescent="0.3">
      <c r="A194" s="12">
        <v>30923</v>
      </c>
      <c r="B194" s="13" t="s">
        <v>34</v>
      </c>
      <c r="C194" s="13"/>
      <c r="D194" s="13" t="s">
        <v>26</v>
      </c>
      <c r="E194" s="14">
        <v>3100</v>
      </c>
      <c r="F194" s="14">
        <v>5063</v>
      </c>
      <c r="G194" s="14">
        <v>7245</v>
      </c>
      <c r="H194" s="14">
        <v>8250</v>
      </c>
      <c r="I194" s="14">
        <v>10210</v>
      </c>
      <c r="J194" s="14">
        <v>9475</v>
      </c>
      <c r="K194" s="14">
        <v>10394</v>
      </c>
      <c r="L194" t="str">
        <f t="shared" si="2"/>
        <v>Mexico_Canada</v>
      </c>
    </row>
    <row r="195" spans="1:12" x14ac:dyDescent="0.3">
      <c r="A195" s="12">
        <v>30924</v>
      </c>
      <c r="B195" s="13" t="s">
        <v>34</v>
      </c>
      <c r="C195" s="13"/>
      <c r="D195" s="13" t="s">
        <v>27</v>
      </c>
      <c r="E195" s="14">
        <v>2783</v>
      </c>
      <c r="F195" s="14">
        <v>4144</v>
      </c>
      <c r="G195" s="14">
        <v>5685</v>
      </c>
      <c r="H195" s="14">
        <v>5177</v>
      </c>
      <c r="I195" s="14">
        <v>5268</v>
      </c>
      <c r="J195" s="14">
        <v>6121</v>
      </c>
      <c r="K195" s="14">
        <v>6714</v>
      </c>
      <c r="L195" t="str">
        <f t="shared" ref="L195:L258" si="3">TRIM(B195)&amp;"_"&amp;TRIM(D195)</f>
        <v>Mexico_Chile</v>
      </c>
    </row>
    <row r="196" spans="1:12" x14ac:dyDescent="0.3">
      <c r="A196" s="12">
        <v>30926</v>
      </c>
      <c r="B196" s="13" t="s">
        <v>34</v>
      </c>
      <c r="C196" s="13"/>
      <c r="D196" s="13" t="s">
        <v>28</v>
      </c>
      <c r="E196" s="14">
        <v>4660</v>
      </c>
      <c r="F196" s="14">
        <v>5530</v>
      </c>
      <c r="G196" s="14">
        <v>6639</v>
      </c>
      <c r="H196" s="14">
        <v>9406</v>
      </c>
      <c r="I196" s="14">
        <v>13262</v>
      </c>
      <c r="J196" s="14">
        <v>18461</v>
      </c>
      <c r="K196" s="14">
        <v>20253</v>
      </c>
      <c r="L196" t="str">
        <f t="shared" si="3"/>
        <v>Mexico_Colombia</v>
      </c>
    </row>
    <row r="197" spans="1:12" x14ac:dyDescent="0.3">
      <c r="A197" s="12">
        <v>30928</v>
      </c>
      <c r="B197" s="13" t="s">
        <v>34</v>
      </c>
      <c r="C197" s="13"/>
      <c r="D197" s="13" t="s">
        <v>29</v>
      </c>
      <c r="E197" s="14">
        <v>2088</v>
      </c>
      <c r="F197" s="14">
        <v>2571</v>
      </c>
      <c r="G197" s="14">
        <v>3166</v>
      </c>
      <c r="H197" s="14">
        <v>2670</v>
      </c>
      <c r="I197" s="14">
        <v>2483</v>
      </c>
      <c r="J197" s="14">
        <v>3128</v>
      </c>
      <c r="K197" s="14">
        <v>3430</v>
      </c>
      <c r="L197" t="str">
        <f t="shared" si="3"/>
        <v>Mexico_Costa Rica</v>
      </c>
    </row>
    <row r="198" spans="1:12" x14ac:dyDescent="0.3">
      <c r="A198" s="12">
        <v>30934</v>
      </c>
      <c r="B198" s="13" t="s">
        <v>34</v>
      </c>
      <c r="C198" s="13"/>
      <c r="D198" s="13" t="s">
        <v>30</v>
      </c>
      <c r="E198" s="14">
        <v>719</v>
      </c>
      <c r="F198" s="14">
        <v>1222</v>
      </c>
      <c r="G198" s="14">
        <v>1778</v>
      </c>
      <c r="H198" s="14">
        <v>1881</v>
      </c>
      <c r="I198" s="14">
        <v>2202</v>
      </c>
      <c r="J198" s="14">
        <v>3189</v>
      </c>
      <c r="K198" s="14">
        <v>3497</v>
      </c>
      <c r="L198" t="str">
        <f t="shared" si="3"/>
        <v>Mexico_Ecuador</v>
      </c>
    </row>
    <row r="199" spans="1:12" x14ac:dyDescent="0.3">
      <c r="A199" s="12">
        <v>30935</v>
      </c>
      <c r="B199" s="13" t="s">
        <v>34</v>
      </c>
      <c r="C199" s="13"/>
      <c r="D199" s="13" t="s">
        <v>31</v>
      </c>
      <c r="E199" s="14">
        <v>301106</v>
      </c>
      <c r="F199" s="14">
        <v>4931</v>
      </c>
      <c r="G199" s="14">
        <v>5786</v>
      </c>
      <c r="H199" s="14">
        <v>6925</v>
      </c>
      <c r="I199" s="14">
        <v>8866</v>
      </c>
      <c r="J199" s="14">
        <v>10427</v>
      </c>
      <c r="K199" s="14">
        <v>16807</v>
      </c>
      <c r="L199" t="str">
        <f t="shared" si="3"/>
        <v>Mexico_El Salvador</v>
      </c>
    </row>
    <row r="200" spans="1:12" x14ac:dyDescent="0.3">
      <c r="A200" s="12">
        <v>30941</v>
      </c>
      <c r="B200" s="13" t="s">
        <v>34</v>
      </c>
      <c r="C200" s="13"/>
      <c r="D200" s="13" t="s">
        <v>32</v>
      </c>
      <c r="E200" s="14">
        <v>72343</v>
      </c>
      <c r="F200" s="14">
        <v>49676</v>
      </c>
      <c r="G200" s="14">
        <v>29156</v>
      </c>
      <c r="H200" s="14">
        <v>29329</v>
      </c>
      <c r="I200" s="14">
        <v>32894</v>
      </c>
      <c r="J200" s="14">
        <v>42221</v>
      </c>
      <c r="K200" s="14">
        <v>46318</v>
      </c>
      <c r="L200" t="str">
        <f t="shared" si="3"/>
        <v>Mexico_Guatemala</v>
      </c>
    </row>
    <row r="201" spans="1:12" x14ac:dyDescent="0.3">
      <c r="A201" s="12">
        <v>30943</v>
      </c>
      <c r="B201" s="13" t="s">
        <v>34</v>
      </c>
      <c r="C201" s="13"/>
      <c r="D201" s="13" t="s">
        <v>33</v>
      </c>
      <c r="E201" s="14">
        <v>1990</v>
      </c>
      <c r="F201" s="14">
        <v>3031</v>
      </c>
      <c r="G201" s="14">
        <v>4203</v>
      </c>
      <c r="H201" s="14">
        <v>6704</v>
      </c>
      <c r="I201" s="14">
        <v>9982</v>
      </c>
      <c r="J201" s="14">
        <v>14623</v>
      </c>
      <c r="K201" s="14">
        <v>38764</v>
      </c>
      <c r="L201" t="str">
        <f t="shared" si="3"/>
        <v>Mexico_Honduras</v>
      </c>
    </row>
    <row r="202" spans="1:12" x14ac:dyDescent="0.3">
      <c r="A202" s="12">
        <v>30966</v>
      </c>
      <c r="B202" s="13" t="s">
        <v>34</v>
      </c>
      <c r="C202" s="13"/>
      <c r="D202" s="13" t="s">
        <v>35</v>
      </c>
      <c r="E202" s="14">
        <v>3096</v>
      </c>
      <c r="F202" s="14">
        <v>3324</v>
      </c>
      <c r="G202" s="14">
        <v>3696</v>
      </c>
      <c r="H202" s="14">
        <v>3435</v>
      </c>
      <c r="I202" s="14">
        <v>3573</v>
      </c>
      <c r="J202" s="14">
        <v>3924</v>
      </c>
      <c r="K202" s="14">
        <v>4303</v>
      </c>
      <c r="L202" t="str">
        <f t="shared" si="3"/>
        <v>Mexico_Nicaragua</v>
      </c>
    </row>
    <row r="203" spans="1:12" x14ac:dyDescent="0.3">
      <c r="A203" s="12">
        <v>30970</v>
      </c>
      <c r="B203" s="13" t="s">
        <v>34</v>
      </c>
      <c r="C203" s="13"/>
      <c r="D203" s="13" t="s">
        <v>36</v>
      </c>
      <c r="E203" s="14">
        <v>25641</v>
      </c>
      <c r="F203" s="14">
        <v>13722</v>
      </c>
      <c r="G203" s="14">
        <v>2396</v>
      </c>
      <c r="H203" s="14">
        <v>1967</v>
      </c>
      <c r="I203" s="14">
        <v>1767</v>
      </c>
      <c r="J203" s="14">
        <v>1612</v>
      </c>
      <c r="K203" s="14">
        <v>1767</v>
      </c>
      <c r="L203" t="str">
        <f t="shared" si="3"/>
        <v>Mexico_Panama</v>
      </c>
    </row>
    <row r="204" spans="1:12" x14ac:dyDescent="0.3">
      <c r="A204" s="12">
        <v>30971</v>
      </c>
      <c r="B204" s="13" t="s">
        <v>34</v>
      </c>
      <c r="C204" s="13"/>
      <c r="D204" s="13" t="s">
        <v>37</v>
      </c>
      <c r="E204" s="14">
        <v>290</v>
      </c>
      <c r="F204" s="14">
        <v>302</v>
      </c>
      <c r="G204" s="14">
        <v>329</v>
      </c>
      <c r="H204" s="14">
        <v>395</v>
      </c>
      <c r="I204" s="14">
        <v>507</v>
      </c>
      <c r="J204" s="14">
        <v>529</v>
      </c>
      <c r="K204" s="14">
        <v>579</v>
      </c>
      <c r="L204" t="str">
        <f t="shared" si="3"/>
        <v>Mexico_Paraguay</v>
      </c>
    </row>
    <row r="205" spans="1:12" x14ac:dyDescent="0.3">
      <c r="A205" s="12">
        <v>30972</v>
      </c>
      <c r="B205" s="13" t="s">
        <v>34</v>
      </c>
      <c r="C205" s="13"/>
      <c r="D205" s="13" t="s">
        <v>38</v>
      </c>
      <c r="E205" s="14">
        <v>2981</v>
      </c>
      <c r="F205" s="14">
        <v>4140</v>
      </c>
      <c r="G205" s="14">
        <v>5479</v>
      </c>
      <c r="H205" s="14">
        <v>5373</v>
      </c>
      <c r="I205" s="14">
        <v>5888</v>
      </c>
      <c r="J205" s="14">
        <v>4730</v>
      </c>
      <c r="K205" s="14">
        <v>5187</v>
      </c>
      <c r="L205" t="str">
        <f t="shared" si="3"/>
        <v>Mexico_Peru</v>
      </c>
    </row>
    <row r="206" spans="1:12" x14ac:dyDescent="0.3">
      <c r="A206" s="12">
        <v>30997</v>
      </c>
      <c r="B206" s="13" t="s">
        <v>34</v>
      </c>
      <c r="C206" s="13"/>
      <c r="D206" s="13" t="s">
        <v>16</v>
      </c>
      <c r="E206" s="14">
        <v>198230</v>
      </c>
      <c r="F206" s="14">
        <v>272472</v>
      </c>
      <c r="G206" s="14">
        <v>358399</v>
      </c>
      <c r="H206" s="14">
        <v>520171</v>
      </c>
      <c r="I206" s="14">
        <v>742050</v>
      </c>
      <c r="J206" s="14">
        <v>728502</v>
      </c>
      <c r="K206" s="14">
        <v>799248</v>
      </c>
      <c r="L206" t="str">
        <f t="shared" si="3"/>
        <v>Mexico_United States</v>
      </c>
    </row>
    <row r="207" spans="1:12" x14ac:dyDescent="0.3">
      <c r="A207" s="12">
        <v>30998</v>
      </c>
      <c r="B207" s="13" t="s">
        <v>34</v>
      </c>
      <c r="C207" s="13"/>
      <c r="D207" s="13" t="s">
        <v>39</v>
      </c>
      <c r="E207" s="14">
        <v>1113</v>
      </c>
      <c r="F207" s="14">
        <v>1506</v>
      </c>
      <c r="G207" s="14">
        <v>1966</v>
      </c>
      <c r="H207" s="14">
        <v>2050</v>
      </c>
      <c r="I207" s="14">
        <v>2372</v>
      </c>
      <c r="J207" s="14">
        <v>3163</v>
      </c>
      <c r="K207" s="14">
        <v>3469</v>
      </c>
      <c r="L207" t="str">
        <f t="shared" si="3"/>
        <v>Mexico_Uruguay</v>
      </c>
    </row>
    <row r="208" spans="1:12" x14ac:dyDescent="0.3">
      <c r="A208" s="12">
        <v>30999</v>
      </c>
      <c r="B208" s="13" t="s">
        <v>34</v>
      </c>
      <c r="C208" s="13"/>
      <c r="D208" s="13" t="s">
        <v>18</v>
      </c>
      <c r="E208" s="14">
        <v>1460</v>
      </c>
      <c r="F208" s="14">
        <v>2194</v>
      </c>
      <c r="G208" s="14">
        <v>3024</v>
      </c>
      <c r="H208" s="14">
        <v>6528</v>
      </c>
      <c r="I208" s="14">
        <v>10788</v>
      </c>
      <c r="J208" s="14">
        <v>16491</v>
      </c>
      <c r="K208" s="14">
        <v>70377</v>
      </c>
      <c r="L208" t="str">
        <f t="shared" si="3"/>
        <v>Mexico_Venezuela</v>
      </c>
    </row>
    <row r="209" spans="1:12" x14ac:dyDescent="0.3">
      <c r="A209" s="9">
        <v>31052</v>
      </c>
      <c r="B209" s="10" t="s">
        <v>35</v>
      </c>
      <c r="C209" s="10"/>
      <c r="D209" s="10" t="s">
        <v>24</v>
      </c>
      <c r="E209" s="11">
        <v>185</v>
      </c>
      <c r="F209" s="11">
        <v>147</v>
      </c>
      <c r="G209" s="11">
        <v>188</v>
      </c>
      <c r="H209" s="11">
        <v>235</v>
      </c>
      <c r="I209" s="11">
        <v>251</v>
      </c>
      <c r="J209" s="11">
        <v>270</v>
      </c>
      <c r="K209" s="11">
        <v>281</v>
      </c>
      <c r="L209" t="str">
        <f t="shared" si="3"/>
        <v>Nicaragua_Argentina</v>
      </c>
    </row>
    <row r="210" spans="1:12" x14ac:dyDescent="0.3">
      <c r="A210" s="9">
        <v>31056</v>
      </c>
      <c r="B210" s="10" t="s">
        <v>35</v>
      </c>
      <c r="C210" s="10"/>
      <c r="D210" s="10" t="s">
        <v>1</v>
      </c>
      <c r="E210" s="11">
        <v>47</v>
      </c>
      <c r="F210" s="11">
        <v>38</v>
      </c>
      <c r="G210" s="11">
        <v>46</v>
      </c>
      <c r="H210" s="11">
        <v>57</v>
      </c>
      <c r="I210" s="11">
        <v>60</v>
      </c>
      <c r="J210" s="11">
        <v>64</v>
      </c>
      <c r="K210" s="11">
        <v>66</v>
      </c>
      <c r="L210" t="str">
        <f t="shared" si="3"/>
        <v>Nicaragua_Bolivia</v>
      </c>
    </row>
    <row r="211" spans="1:12" x14ac:dyDescent="0.3">
      <c r="A211" s="9">
        <v>31057</v>
      </c>
      <c r="B211" s="10" t="s">
        <v>35</v>
      </c>
      <c r="C211" s="10"/>
      <c r="D211" s="10" t="s">
        <v>25</v>
      </c>
      <c r="E211" s="11">
        <v>138</v>
      </c>
      <c r="F211" s="11">
        <v>110</v>
      </c>
      <c r="G211" s="11">
        <v>107</v>
      </c>
      <c r="H211" s="11">
        <v>107</v>
      </c>
      <c r="I211" s="11">
        <v>114</v>
      </c>
      <c r="J211" s="11">
        <v>122</v>
      </c>
      <c r="K211" s="11">
        <v>126</v>
      </c>
      <c r="L211" t="str">
        <f t="shared" si="3"/>
        <v>Nicaragua_Brazil</v>
      </c>
    </row>
    <row r="212" spans="1:12" x14ac:dyDescent="0.3">
      <c r="A212" s="9">
        <v>31060</v>
      </c>
      <c r="B212" s="10" t="s">
        <v>35</v>
      </c>
      <c r="C212" s="10"/>
      <c r="D212" s="10" t="s">
        <v>26</v>
      </c>
      <c r="E212" s="11">
        <v>185</v>
      </c>
      <c r="F212" s="11">
        <v>147</v>
      </c>
      <c r="G212" s="11">
        <v>180</v>
      </c>
      <c r="H212" s="11">
        <v>219</v>
      </c>
      <c r="I212" s="11">
        <v>234</v>
      </c>
      <c r="J212" s="11">
        <v>252</v>
      </c>
      <c r="K212" s="11">
        <v>262</v>
      </c>
      <c r="L212" t="str">
        <f t="shared" si="3"/>
        <v>Nicaragua_Canada</v>
      </c>
    </row>
    <row r="213" spans="1:12" x14ac:dyDescent="0.3">
      <c r="A213" s="9">
        <v>31061</v>
      </c>
      <c r="B213" s="10" t="s">
        <v>35</v>
      </c>
      <c r="C213" s="10"/>
      <c r="D213" s="10" t="s">
        <v>27</v>
      </c>
      <c r="E213" s="11">
        <v>144</v>
      </c>
      <c r="F213" s="11">
        <v>115</v>
      </c>
      <c r="G213" s="11">
        <v>111</v>
      </c>
      <c r="H213" s="11">
        <v>110</v>
      </c>
      <c r="I213" s="11">
        <v>117</v>
      </c>
      <c r="J213" s="11">
        <v>126</v>
      </c>
      <c r="K213" s="11">
        <v>130</v>
      </c>
      <c r="L213" t="str">
        <f t="shared" si="3"/>
        <v>Nicaragua_Chile</v>
      </c>
    </row>
    <row r="214" spans="1:12" x14ac:dyDescent="0.3">
      <c r="A214" s="9">
        <v>31063</v>
      </c>
      <c r="B214" s="10" t="s">
        <v>35</v>
      </c>
      <c r="C214" s="10"/>
      <c r="D214" s="10" t="s">
        <v>28</v>
      </c>
      <c r="E214" s="11">
        <v>298</v>
      </c>
      <c r="F214" s="11">
        <v>237</v>
      </c>
      <c r="G214" s="11">
        <v>309</v>
      </c>
      <c r="H214" s="11">
        <v>389</v>
      </c>
      <c r="I214" s="11">
        <v>415</v>
      </c>
      <c r="J214" s="11">
        <v>447</v>
      </c>
      <c r="K214" s="11">
        <v>467</v>
      </c>
      <c r="L214" t="str">
        <f t="shared" si="3"/>
        <v>Nicaragua_Colombia</v>
      </c>
    </row>
    <row r="215" spans="1:12" x14ac:dyDescent="0.3">
      <c r="A215" s="9">
        <v>31065</v>
      </c>
      <c r="B215" s="10" t="s">
        <v>35</v>
      </c>
      <c r="C215" s="10"/>
      <c r="D215" s="10" t="s">
        <v>29</v>
      </c>
      <c r="E215" s="11">
        <v>5959</v>
      </c>
      <c r="F215" s="11">
        <v>4727</v>
      </c>
      <c r="G215" s="11">
        <v>6948</v>
      </c>
      <c r="H215" s="11">
        <v>9343</v>
      </c>
      <c r="I215" s="11">
        <v>9989</v>
      </c>
      <c r="J215" s="11">
        <v>10772</v>
      </c>
      <c r="K215" s="11">
        <v>11281</v>
      </c>
      <c r="L215" t="str">
        <f t="shared" si="3"/>
        <v>Nicaragua_Costa Rica</v>
      </c>
    </row>
    <row r="216" spans="1:12" x14ac:dyDescent="0.3">
      <c r="A216" s="9">
        <v>31069</v>
      </c>
      <c r="B216" s="10" t="s">
        <v>35</v>
      </c>
      <c r="C216" s="10"/>
      <c r="D216" s="10" t="s">
        <v>30</v>
      </c>
      <c r="E216" s="11">
        <v>98</v>
      </c>
      <c r="F216" s="11">
        <v>78</v>
      </c>
      <c r="G216" s="11">
        <v>86</v>
      </c>
      <c r="H216" s="11">
        <v>97</v>
      </c>
      <c r="I216" s="11">
        <v>103</v>
      </c>
      <c r="J216" s="11">
        <v>111</v>
      </c>
      <c r="K216" s="11">
        <v>115</v>
      </c>
      <c r="L216" t="str">
        <f t="shared" si="3"/>
        <v>Nicaragua_Ecuador</v>
      </c>
    </row>
    <row r="217" spans="1:12" x14ac:dyDescent="0.3">
      <c r="A217" s="9">
        <v>31070</v>
      </c>
      <c r="B217" s="10" t="s">
        <v>35</v>
      </c>
      <c r="C217" s="10"/>
      <c r="D217" s="10" t="s">
        <v>31</v>
      </c>
      <c r="E217" s="11">
        <v>12443</v>
      </c>
      <c r="F217" s="11">
        <v>2136</v>
      </c>
      <c r="G217" s="11">
        <v>2102</v>
      </c>
      <c r="H217" s="11">
        <v>2121</v>
      </c>
      <c r="I217" s="11">
        <v>2267</v>
      </c>
      <c r="J217" s="11">
        <v>2444</v>
      </c>
      <c r="K217" s="11">
        <v>2557</v>
      </c>
      <c r="L217" t="str">
        <f t="shared" si="3"/>
        <v>Nicaragua_El Salvador</v>
      </c>
    </row>
    <row r="218" spans="1:12" x14ac:dyDescent="0.3">
      <c r="A218" s="9">
        <v>31074</v>
      </c>
      <c r="B218" s="10" t="s">
        <v>35</v>
      </c>
      <c r="C218" s="10"/>
      <c r="D218" s="10" t="s">
        <v>32</v>
      </c>
      <c r="E218" s="11">
        <v>1134</v>
      </c>
      <c r="F218" s="11">
        <v>900</v>
      </c>
      <c r="G218" s="11">
        <v>1199</v>
      </c>
      <c r="H218" s="11">
        <v>1529</v>
      </c>
      <c r="I218" s="11">
        <v>1634</v>
      </c>
      <c r="J218" s="11">
        <v>1762</v>
      </c>
      <c r="K218" s="11">
        <v>1843</v>
      </c>
      <c r="L218" t="str">
        <f t="shared" si="3"/>
        <v>Nicaragua_Guatemala</v>
      </c>
    </row>
    <row r="219" spans="1:12" x14ac:dyDescent="0.3">
      <c r="A219" s="9">
        <v>31076</v>
      </c>
      <c r="B219" s="10" t="s">
        <v>35</v>
      </c>
      <c r="C219" s="10"/>
      <c r="D219" s="10" t="s">
        <v>33</v>
      </c>
      <c r="E219" s="11">
        <v>10105</v>
      </c>
      <c r="F219" s="11">
        <v>9473</v>
      </c>
      <c r="G219" s="11">
        <v>10017</v>
      </c>
      <c r="H219" s="11">
        <v>10745</v>
      </c>
      <c r="I219" s="11">
        <v>11534</v>
      </c>
      <c r="J219" s="11">
        <v>12439</v>
      </c>
      <c r="K219" s="11">
        <v>13110</v>
      </c>
      <c r="L219" t="str">
        <f t="shared" si="3"/>
        <v>Nicaragua_Honduras</v>
      </c>
    </row>
    <row r="220" spans="1:12" x14ac:dyDescent="0.3">
      <c r="A220" s="9">
        <v>31084</v>
      </c>
      <c r="B220" s="10" t="s">
        <v>35</v>
      </c>
      <c r="C220" s="10"/>
      <c r="D220" s="10" t="s">
        <v>34</v>
      </c>
      <c r="E220" s="11">
        <v>925</v>
      </c>
      <c r="F220" s="11">
        <v>734</v>
      </c>
      <c r="G220" s="11">
        <v>725</v>
      </c>
      <c r="H220" s="11">
        <v>735</v>
      </c>
      <c r="I220" s="11">
        <v>785</v>
      </c>
      <c r="J220" s="11">
        <v>846</v>
      </c>
      <c r="K220" s="11">
        <v>885</v>
      </c>
      <c r="L220" t="str">
        <f t="shared" si="3"/>
        <v>Nicaragua_Mexico</v>
      </c>
    </row>
    <row r="221" spans="1:12" x14ac:dyDescent="0.3">
      <c r="A221" s="9">
        <v>31087</v>
      </c>
      <c r="B221" s="10" t="s">
        <v>35</v>
      </c>
      <c r="C221" s="10"/>
      <c r="D221" s="10" t="s">
        <v>36</v>
      </c>
      <c r="E221" s="11">
        <v>442</v>
      </c>
      <c r="F221" s="11">
        <v>351</v>
      </c>
      <c r="G221" s="11">
        <v>347</v>
      </c>
      <c r="H221" s="11">
        <v>352</v>
      </c>
      <c r="I221" s="11">
        <v>376</v>
      </c>
      <c r="J221" s="11">
        <v>405</v>
      </c>
      <c r="K221" s="11">
        <v>423</v>
      </c>
      <c r="L221" t="str">
        <f t="shared" si="3"/>
        <v>Nicaragua_Panama</v>
      </c>
    </row>
    <row r="222" spans="1:12" x14ac:dyDescent="0.3">
      <c r="A222" s="9">
        <v>31088</v>
      </c>
      <c r="B222" s="10" t="s">
        <v>35</v>
      </c>
      <c r="C222" s="10"/>
      <c r="D222" s="10" t="s">
        <v>38</v>
      </c>
      <c r="E222" s="11">
        <v>221</v>
      </c>
      <c r="F222" s="11">
        <v>176</v>
      </c>
      <c r="G222" s="11">
        <v>185</v>
      </c>
      <c r="H222" s="11">
        <v>199</v>
      </c>
      <c r="I222" s="11">
        <v>212</v>
      </c>
      <c r="J222" s="11">
        <v>228</v>
      </c>
      <c r="K222" s="11">
        <v>237</v>
      </c>
      <c r="L222" t="str">
        <f t="shared" si="3"/>
        <v>Nicaragua_Peru</v>
      </c>
    </row>
    <row r="223" spans="1:12" x14ac:dyDescent="0.3">
      <c r="A223" s="9">
        <v>31098</v>
      </c>
      <c r="B223" s="10" t="s">
        <v>35</v>
      </c>
      <c r="C223" s="10"/>
      <c r="D223" s="10" t="s">
        <v>16</v>
      </c>
      <c r="E223" s="11">
        <v>3721</v>
      </c>
      <c r="F223" s="11">
        <v>2952</v>
      </c>
      <c r="G223" s="11">
        <v>3006</v>
      </c>
      <c r="H223" s="11">
        <v>3085</v>
      </c>
      <c r="I223" s="11">
        <v>3298</v>
      </c>
      <c r="J223" s="11">
        <v>3606</v>
      </c>
      <c r="K223" s="11">
        <v>3775</v>
      </c>
      <c r="L223" t="str">
        <f t="shared" si="3"/>
        <v>Nicaragua_United States</v>
      </c>
    </row>
    <row r="224" spans="1:12" x14ac:dyDescent="0.3">
      <c r="A224" s="9">
        <v>31099</v>
      </c>
      <c r="B224" s="10" t="s">
        <v>35</v>
      </c>
      <c r="C224" s="10"/>
      <c r="D224" s="10" t="s">
        <v>39</v>
      </c>
      <c r="E224" s="11">
        <v>11</v>
      </c>
      <c r="F224" s="11">
        <v>9</v>
      </c>
      <c r="G224" s="11">
        <v>21</v>
      </c>
      <c r="H224" s="11">
        <v>34</v>
      </c>
      <c r="I224" s="11">
        <v>36</v>
      </c>
      <c r="J224" s="11">
        <v>38</v>
      </c>
      <c r="K224" s="11">
        <v>38</v>
      </c>
      <c r="L224" t="str">
        <f t="shared" si="3"/>
        <v>Nicaragua_Uruguay</v>
      </c>
    </row>
    <row r="225" spans="1:12" x14ac:dyDescent="0.3">
      <c r="A225" s="9">
        <v>31100</v>
      </c>
      <c r="B225" s="10" t="s">
        <v>35</v>
      </c>
      <c r="C225" s="10"/>
      <c r="D225" s="10" t="s">
        <v>18</v>
      </c>
      <c r="E225" s="11">
        <v>146</v>
      </c>
      <c r="F225" s="11">
        <v>116</v>
      </c>
      <c r="G225" s="11">
        <v>125</v>
      </c>
      <c r="H225" s="11">
        <v>139</v>
      </c>
      <c r="I225" s="11">
        <v>148</v>
      </c>
      <c r="J225" s="11">
        <v>159</v>
      </c>
      <c r="K225" s="11">
        <v>165</v>
      </c>
      <c r="L225" t="str">
        <f t="shared" si="3"/>
        <v>Nicaragua_Venezuela</v>
      </c>
    </row>
    <row r="226" spans="1:12" x14ac:dyDescent="0.3">
      <c r="A226" s="12">
        <v>31151</v>
      </c>
      <c r="B226" s="13" t="s">
        <v>36</v>
      </c>
      <c r="C226" s="13"/>
      <c r="D226" s="13" t="s">
        <v>24</v>
      </c>
      <c r="E226" s="14">
        <v>580</v>
      </c>
      <c r="F226" s="14">
        <v>667</v>
      </c>
      <c r="G226" s="14">
        <v>796</v>
      </c>
      <c r="H226" s="14">
        <v>1350</v>
      </c>
      <c r="I226" s="14">
        <v>2179</v>
      </c>
      <c r="J226" s="14">
        <v>2550</v>
      </c>
      <c r="K226" s="14">
        <v>3062</v>
      </c>
      <c r="L226" t="str">
        <f t="shared" si="3"/>
        <v>Panama_Argentina</v>
      </c>
    </row>
    <row r="227" spans="1:12" x14ac:dyDescent="0.3">
      <c r="A227" s="12">
        <v>31157</v>
      </c>
      <c r="B227" s="13" t="s">
        <v>36</v>
      </c>
      <c r="C227" s="13"/>
      <c r="D227" s="13" t="s">
        <v>1</v>
      </c>
      <c r="E227" s="14">
        <v>213</v>
      </c>
      <c r="F227" s="14">
        <v>194</v>
      </c>
      <c r="G227" s="14">
        <v>189</v>
      </c>
      <c r="H227" s="14">
        <v>261</v>
      </c>
      <c r="I227" s="14">
        <v>388</v>
      </c>
      <c r="J227" s="14">
        <v>454</v>
      </c>
      <c r="K227" s="14">
        <v>543</v>
      </c>
      <c r="L227" t="str">
        <f t="shared" si="3"/>
        <v>Panama_Bolivia</v>
      </c>
    </row>
    <row r="228" spans="1:12" x14ac:dyDescent="0.3">
      <c r="A228" s="12">
        <v>31158</v>
      </c>
      <c r="B228" s="13" t="s">
        <v>36</v>
      </c>
      <c r="C228" s="13"/>
      <c r="D228" s="13" t="s">
        <v>25</v>
      </c>
      <c r="E228" s="14">
        <v>633</v>
      </c>
      <c r="F228" s="14">
        <v>695</v>
      </c>
      <c r="G228" s="14">
        <v>802</v>
      </c>
      <c r="H228" s="14">
        <v>1139</v>
      </c>
      <c r="I228" s="14">
        <v>1710</v>
      </c>
      <c r="J228" s="14">
        <v>2002</v>
      </c>
      <c r="K228" s="14">
        <v>2406</v>
      </c>
      <c r="L228" t="str">
        <f t="shared" si="3"/>
        <v>Panama_Brazil</v>
      </c>
    </row>
    <row r="229" spans="1:12" x14ac:dyDescent="0.3">
      <c r="A229" s="12">
        <v>31162</v>
      </c>
      <c r="B229" s="13" t="s">
        <v>36</v>
      </c>
      <c r="C229" s="13"/>
      <c r="D229" s="13" t="s">
        <v>26</v>
      </c>
      <c r="E229" s="14">
        <v>140</v>
      </c>
      <c r="F229" s="14">
        <v>280</v>
      </c>
      <c r="G229" s="14">
        <v>438</v>
      </c>
      <c r="H229" s="14">
        <v>900</v>
      </c>
      <c r="I229" s="14">
        <v>1545</v>
      </c>
      <c r="J229" s="14">
        <v>1808</v>
      </c>
      <c r="K229" s="14">
        <v>2171</v>
      </c>
      <c r="L229" t="str">
        <f t="shared" si="3"/>
        <v>Panama_Canada</v>
      </c>
    </row>
    <row r="230" spans="1:12" x14ac:dyDescent="0.3">
      <c r="A230" s="12">
        <v>31163</v>
      </c>
      <c r="B230" s="13" t="s">
        <v>36</v>
      </c>
      <c r="C230" s="13"/>
      <c r="D230" s="13" t="s">
        <v>27</v>
      </c>
      <c r="E230" s="14">
        <v>998</v>
      </c>
      <c r="F230" s="14">
        <v>997</v>
      </c>
      <c r="G230" s="14">
        <v>1060</v>
      </c>
      <c r="H230" s="14">
        <v>1184</v>
      </c>
      <c r="I230" s="14">
        <v>1549</v>
      </c>
      <c r="J230" s="14">
        <v>1813</v>
      </c>
      <c r="K230" s="14">
        <v>2178</v>
      </c>
      <c r="L230" t="str">
        <f t="shared" si="3"/>
        <v>Panama_Chile</v>
      </c>
    </row>
    <row r="231" spans="1:12" x14ac:dyDescent="0.3">
      <c r="A231" s="12">
        <v>31165</v>
      </c>
      <c r="B231" s="13" t="s">
        <v>36</v>
      </c>
      <c r="C231" s="13"/>
      <c r="D231" s="13" t="s">
        <v>28</v>
      </c>
      <c r="E231" s="14">
        <v>13968</v>
      </c>
      <c r="F231" s="14">
        <v>17179</v>
      </c>
      <c r="G231" s="14">
        <v>21473</v>
      </c>
      <c r="H231" s="14">
        <v>31157</v>
      </c>
      <c r="I231" s="14">
        <v>47190</v>
      </c>
      <c r="J231" s="14">
        <v>55251</v>
      </c>
      <c r="K231" s="14">
        <v>50702</v>
      </c>
      <c r="L231" t="str">
        <f t="shared" si="3"/>
        <v>Panama_Colombia</v>
      </c>
    </row>
    <row r="232" spans="1:12" x14ac:dyDescent="0.3">
      <c r="A232" s="12">
        <v>31166</v>
      </c>
      <c r="B232" s="13" t="s">
        <v>36</v>
      </c>
      <c r="C232" s="13"/>
      <c r="D232" s="13" t="s">
        <v>29</v>
      </c>
      <c r="E232" s="14">
        <v>3919</v>
      </c>
      <c r="F232" s="14">
        <v>4155</v>
      </c>
      <c r="G232" s="14">
        <v>4654</v>
      </c>
      <c r="H232" s="14">
        <v>5121</v>
      </c>
      <c r="I232" s="14">
        <v>6629</v>
      </c>
      <c r="J232" s="14">
        <v>7760</v>
      </c>
      <c r="K232" s="14">
        <v>9320</v>
      </c>
      <c r="L232" t="str">
        <f t="shared" si="3"/>
        <v>Panama_Costa Rica</v>
      </c>
    </row>
    <row r="233" spans="1:12" x14ac:dyDescent="0.3">
      <c r="A233" s="12">
        <v>31173</v>
      </c>
      <c r="B233" s="13" t="s">
        <v>36</v>
      </c>
      <c r="C233" s="13"/>
      <c r="D233" s="13" t="s">
        <v>30</v>
      </c>
      <c r="E233" s="14">
        <v>1414</v>
      </c>
      <c r="F233" s="14">
        <v>1604</v>
      </c>
      <c r="G233" s="14">
        <v>1896</v>
      </c>
      <c r="H233" s="14">
        <v>1897</v>
      </c>
      <c r="I233" s="14">
        <v>2282</v>
      </c>
      <c r="J233" s="14">
        <v>2672</v>
      </c>
      <c r="K233" s="14">
        <v>3201</v>
      </c>
      <c r="L233" t="str">
        <f t="shared" si="3"/>
        <v>Panama_Ecuador</v>
      </c>
    </row>
    <row r="234" spans="1:12" x14ac:dyDescent="0.3">
      <c r="A234" s="12">
        <v>31174</v>
      </c>
      <c r="B234" s="13" t="s">
        <v>36</v>
      </c>
      <c r="C234" s="13"/>
      <c r="D234" s="13" t="s">
        <v>31</v>
      </c>
      <c r="E234" s="14">
        <v>2396</v>
      </c>
      <c r="F234" s="14">
        <v>2146</v>
      </c>
      <c r="G234" s="14">
        <v>2032</v>
      </c>
      <c r="H234" s="14">
        <v>2173</v>
      </c>
      <c r="I234" s="14">
        <v>2756</v>
      </c>
      <c r="J234" s="14">
        <v>3225</v>
      </c>
      <c r="K234" s="14">
        <v>4147</v>
      </c>
      <c r="L234" t="str">
        <f t="shared" si="3"/>
        <v>Panama_El Salvador</v>
      </c>
    </row>
    <row r="235" spans="1:12" x14ac:dyDescent="0.3">
      <c r="A235" s="12">
        <v>31182</v>
      </c>
      <c r="B235" s="13" t="s">
        <v>36</v>
      </c>
      <c r="C235" s="13"/>
      <c r="D235" s="13" t="s">
        <v>32</v>
      </c>
      <c r="E235" s="14">
        <v>376</v>
      </c>
      <c r="F235" s="14">
        <v>473</v>
      </c>
      <c r="G235" s="14">
        <v>600</v>
      </c>
      <c r="H235" s="14">
        <v>894</v>
      </c>
      <c r="I235" s="14">
        <v>1372</v>
      </c>
      <c r="J235" s="14">
        <v>1606</v>
      </c>
      <c r="K235" s="14">
        <v>1925</v>
      </c>
      <c r="L235" t="str">
        <f t="shared" si="3"/>
        <v>Panama_Guatemala</v>
      </c>
    </row>
    <row r="236" spans="1:12" x14ac:dyDescent="0.3">
      <c r="A236" s="12">
        <v>31185</v>
      </c>
      <c r="B236" s="13" t="s">
        <v>36</v>
      </c>
      <c r="C236" s="13"/>
      <c r="D236" s="13" t="s">
        <v>33</v>
      </c>
      <c r="E236" s="14">
        <v>638</v>
      </c>
      <c r="F236" s="14">
        <v>715</v>
      </c>
      <c r="G236" s="14">
        <v>838</v>
      </c>
      <c r="H236" s="14">
        <v>963</v>
      </c>
      <c r="I236" s="14">
        <v>1284</v>
      </c>
      <c r="J236" s="14">
        <v>1504</v>
      </c>
      <c r="K236" s="14">
        <v>1797</v>
      </c>
      <c r="L236" t="str">
        <f t="shared" si="3"/>
        <v>Panama_Honduras</v>
      </c>
    </row>
    <row r="237" spans="1:12" x14ac:dyDescent="0.3">
      <c r="A237" s="12">
        <v>31202</v>
      </c>
      <c r="B237" s="13" t="s">
        <v>36</v>
      </c>
      <c r="C237" s="13"/>
      <c r="D237" s="13" t="s">
        <v>34</v>
      </c>
      <c r="E237" s="14">
        <v>1393</v>
      </c>
      <c r="F237" s="14">
        <v>1810</v>
      </c>
      <c r="G237" s="14">
        <v>2341</v>
      </c>
      <c r="H237" s="14">
        <v>2935</v>
      </c>
      <c r="I237" s="14">
        <v>4127</v>
      </c>
      <c r="J237" s="14">
        <v>4832</v>
      </c>
      <c r="K237" s="14">
        <v>5801</v>
      </c>
      <c r="L237" t="str">
        <f t="shared" si="3"/>
        <v>Panama_Mexico</v>
      </c>
    </row>
    <row r="238" spans="1:12" x14ac:dyDescent="0.3">
      <c r="A238" s="12">
        <v>31207</v>
      </c>
      <c r="B238" s="13" t="s">
        <v>36</v>
      </c>
      <c r="C238" s="13"/>
      <c r="D238" s="13" t="s">
        <v>35</v>
      </c>
      <c r="E238" s="14">
        <v>4553</v>
      </c>
      <c r="F238" s="14">
        <v>4593</v>
      </c>
      <c r="G238" s="14">
        <v>4923</v>
      </c>
      <c r="H238" s="14">
        <v>7240</v>
      </c>
      <c r="I238" s="14">
        <v>11032</v>
      </c>
      <c r="J238" s="14">
        <v>12915</v>
      </c>
      <c r="K238" s="14">
        <v>15517</v>
      </c>
      <c r="L238" t="str">
        <f t="shared" si="3"/>
        <v>Panama_Nicaragua</v>
      </c>
    </row>
    <row r="239" spans="1:12" x14ac:dyDescent="0.3">
      <c r="A239" s="12">
        <v>31211</v>
      </c>
      <c r="B239" s="13" t="s">
        <v>36</v>
      </c>
      <c r="C239" s="13"/>
      <c r="D239" s="13" t="s">
        <v>37</v>
      </c>
      <c r="E239" s="14">
        <v>38</v>
      </c>
      <c r="F239" s="14">
        <v>35</v>
      </c>
      <c r="G239" s="14">
        <v>35</v>
      </c>
      <c r="H239" s="14">
        <v>63</v>
      </c>
      <c r="I239" s="14">
        <v>104</v>
      </c>
      <c r="J239" s="14">
        <v>122</v>
      </c>
      <c r="K239" s="14">
        <v>145</v>
      </c>
      <c r="L239" t="str">
        <f t="shared" si="3"/>
        <v>Panama_Paraguay</v>
      </c>
    </row>
    <row r="240" spans="1:12" x14ac:dyDescent="0.3">
      <c r="A240" s="12">
        <v>31212</v>
      </c>
      <c r="B240" s="13" t="s">
        <v>36</v>
      </c>
      <c r="C240" s="13"/>
      <c r="D240" s="13" t="s">
        <v>38</v>
      </c>
      <c r="E240" s="14">
        <v>1781</v>
      </c>
      <c r="F240" s="14">
        <v>2170</v>
      </c>
      <c r="G240" s="14">
        <v>2697</v>
      </c>
      <c r="H240" s="14">
        <v>2888</v>
      </c>
      <c r="I240" s="14">
        <v>3666</v>
      </c>
      <c r="J240" s="14">
        <v>4290</v>
      </c>
      <c r="K240" s="14">
        <v>5155</v>
      </c>
      <c r="L240" t="str">
        <f t="shared" si="3"/>
        <v>Panama_Peru</v>
      </c>
    </row>
    <row r="241" spans="1:12" x14ac:dyDescent="0.3">
      <c r="A241" s="12">
        <v>31236</v>
      </c>
      <c r="B241" s="13" t="s">
        <v>36</v>
      </c>
      <c r="C241" s="13"/>
      <c r="D241" s="13" t="s">
        <v>16</v>
      </c>
      <c r="E241" s="14">
        <v>3318</v>
      </c>
      <c r="F241" s="14">
        <v>4134</v>
      </c>
      <c r="G241" s="14">
        <v>5212</v>
      </c>
      <c r="H241" s="14">
        <v>7807</v>
      </c>
      <c r="I241" s="14">
        <v>11993</v>
      </c>
      <c r="J241" s="14">
        <v>14040</v>
      </c>
      <c r="K241" s="14">
        <v>16867</v>
      </c>
      <c r="L241" t="str">
        <f t="shared" si="3"/>
        <v>Panama_United States</v>
      </c>
    </row>
    <row r="242" spans="1:12" x14ac:dyDescent="0.3">
      <c r="A242" s="12">
        <v>31237</v>
      </c>
      <c r="B242" s="13" t="s">
        <v>36</v>
      </c>
      <c r="C242" s="13"/>
      <c r="D242" s="13" t="s">
        <v>39</v>
      </c>
      <c r="E242" s="14">
        <v>147</v>
      </c>
      <c r="F242" s="14">
        <v>199</v>
      </c>
      <c r="G242" s="14">
        <v>264</v>
      </c>
      <c r="H242" s="14">
        <v>415</v>
      </c>
      <c r="I242" s="14">
        <v>650</v>
      </c>
      <c r="J242" s="14">
        <v>762</v>
      </c>
      <c r="K242" s="14">
        <v>914</v>
      </c>
      <c r="L242" t="str">
        <f t="shared" si="3"/>
        <v>Panama_Uruguay</v>
      </c>
    </row>
    <row r="243" spans="1:12" x14ac:dyDescent="0.3">
      <c r="A243" s="12">
        <v>31238</v>
      </c>
      <c r="B243" s="13" t="s">
        <v>36</v>
      </c>
      <c r="C243" s="13"/>
      <c r="D243" s="13" t="s">
        <v>18</v>
      </c>
      <c r="E243" s="14">
        <v>487</v>
      </c>
      <c r="F243" s="14">
        <v>715</v>
      </c>
      <c r="G243" s="14">
        <v>989</v>
      </c>
      <c r="H243" s="14">
        <v>4276</v>
      </c>
      <c r="I243" s="14">
        <v>8441</v>
      </c>
      <c r="J243" s="14">
        <v>9883</v>
      </c>
      <c r="K243" s="14">
        <v>119553</v>
      </c>
      <c r="L243" t="str">
        <f t="shared" si="3"/>
        <v>Panama_Venezuela</v>
      </c>
    </row>
    <row r="244" spans="1:12" x14ac:dyDescent="0.3">
      <c r="A244" s="12">
        <v>32650</v>
      </c>
      <c r="B244" s="13" t="s">
        <v>37</v>
      </c>
      <c r="C244" s="13"/>
      <c r="D244" s="13" t="s">
        <v>24</v>
      </c>
      <c r="E244" s="14">
        <v>50447</v>
      </c>
      <c r="F244" s="14">
        <v>57525</v>
      </c>
      <c r="G244" s="14">
        <v>64404</v>
      </c>
      <c r="H244" s="14">
        <v>61353</v>
      </c>
      <c r="I244" s="14">
        <v>58456</v>
      </c>
      <c r="J244" s="14">
        <v>57056</v>
      </c>
      <c r="K244" s="14">
        <v>61833</v>
      </c>
      <c r="L244" t="str">
        <f t="shared" si="3"/>
        <v>Paraguay_Argentina</v>
      </c>
    </row>
    <row r="245" spans="1:12" x14ac:dyDescent="0.3">
      <c r="A245" s="12">
        <v>32651</v>
      </c>
      <c r="B245" s="13" t="s">
        <v>37</v>
      </c>
      <c r="C245" s="13"/>
      <c r="D245" s="13" t="s">
        <v>1</v>
      </c>
      <c r="E245" s="14">
        <v>809</v>
      </c>
      <c r="F245" s="14">
        <v>976</v>
      </c>
      <c r="G245" s="14">
        <v>1140</v>
      </c>
      <c r="H245" s="14">
        <v>1086</v>
      </c>
      <c r="I245" s="14">
        <v>1034</v>
      </c>
      <c r="J245" s="14">
        <v>1009</v>
      </c>
      <c r="K245" s="14">
        <v>1092</v>
      </c>
      <c r="L245" t="str">
        <f t="shared" si="3"/>
        <v>Paraguay_Bolivia</v>
      </c>
    </row>
    <row r="246" spans="1:12" x14ac:dyDescent="0.3">
      <c r="A246" s="12">
        <v>32652</v>
      </c>
      <c r="B246" s="13" t="s">
        <v>37</v>
      </c>
      <c r="C246" s="13"/>
      <c r="D246" s="13" t="s">
        <v>25</v>
      </c>
      <c r="E246" s="14">
        <v>111355</v>
      </c>
      <c r="F246" s="14">
        <v>97450</v>
      </c>
      <c r="G246" s="14">
        <v>83208</v>
      </c>
      <c r="H246" s="14">
        <v>79266</v>
      </c>
      <c r="I246" s="14">
        <v>75523</v>
      </c>
      <c r="J246" s="14">
        <v>73715</v>
      </c>
      <c r="K246" s="14">
        <v>79897</v>
      </c>
      <c r="L246" t="str">
        <f t="shared" si="3"/>
        <v>Paraguay_Brazil</v>
      </c>
    </row>
    <row r="247" spans="1:12" x14ac:dyDescent="0.3">
      <c r="A247" s="12">
        <v>32653</v>
      </c>
      <c r="B247" s="13" t="s">
        <v>37</v>
      </c>
      <c r="C247" s="13"/>
      <c r="D247" s="13" t="s">
        <v>26</v>
      </c>
      <c r="E247" s="14">
        <v>1418</v>
      </c>
      <c r="F247" s="14">
        <v>1999</v>
      </c>
      <c r="G247" s="14">
        <v>2575</v>
      </c>
      <c r="H247" s="14">
        <v>2453</v>
      </c>
      <c r="I247" s="14">
        <v>2337</v>
      </c>
      <c r="J247" s="14">
        <v>2281</v>
      </c>
      <c r="K247" s="14">
        <v>2471</v>
      </c>
      <c r="L247" t="str">
        <f t="shared" si="3"/>
        <v>Paraguay_Canada</v>
      </c>
    </row>
    <row r="248" spans="1:12" x14ac:dyDescent="0.3">
      <c r="A248" s="12">
        <v>32654</v>
      </c>
      <c r="B248" s="13" t="s">
        <v>37</v>
      </c>
      <c r="C248" s="13"/>
      <c r="D248" s="13" t="s">
        <v>27</v>
      </c>
      <c r="E248" s="14">
        <v>2460</v>
      </c>
      <c r="F248" s="14">
        <v>2425</v>
      </c>
      <c r="G248" s="14">
        <v>2382</v>
      </c>
      <c r="H248" s="14">
        <v>2269</v>
      </c>
      <c r="I248" s="14">
        <v>2161</v>
      </c>
      <c r="J248" s="14">
        <v>2109</v>
      </c>
      <c r="K248" s="14">
        <v>2283</v>
      </c>
      <c r="L248" t="str">
        <f t="shared" si="3"/>
        <v>Paraguay_Chile</v>
      </c>
    </row>
    <row r="249" spans="1:12" x14ac:dyDescent="0.3">
      <c r="A249" s="12">
        <v>32661</v>
      </c>
      <c r="B249" s="13" t="s">
        <v>37</v>
      </c>
      <c r="C249" s="13"/>
      <c r="D249" s="13" t="s">
        <v>34</v>
      </c>
      <c r="E249" s="14">
        <v>3059</v>
      </c>
      <c r="F249" s="14">
        <v>2440</v>
      </c>
      <c r="G249" s="14">
        <v>1813</v>
      </c>
      <c r="H249" s="14">
        <v>1727</v>
      </c>
      <c r="I249" s="14">
        <v>1645</v>
      </c>
      <c r="J249" s="14">
        <v>1605</v>
      </c>
      <c r="K249" s="14">
        <v>1738</v>
      </c>
      <c r="L249" t="str">
        <f t="shared" si="3"/>
        <v>Paraguay_Mexico</v>
      </c>
    </row>
    <row r="250" spans="1:12" x14ac:dyDescent="0.3">
      <c r="A250" s="12">
        <v>32665</v>
      </c>
      <c r="B250" s="13" t="s">
        <v>37</v>
      </c>
      <c r="C250" s="13"/>
      <c r="D250" s="13" t="s">
        <v>16</v>
      </c>
      <c r="E250" s="14">
        <v>1582</v>
      </c>
      <c r="F250" s="14">
        <v>1684</v>
      </c>
      <c r="G250" s="14">
        <v>1781</v>
      </c>
      <c r="H250" s="14">
        <v>1696</v>
      </c>
      <c r="I250" s="14">
        <v>1615</v>
      </c>
      <c r="J250" s="14">
        <v>1576</v>
      </c>
      <c r="K250" s="14">
        <v>1706</v>
      </c>
      <c r="L250" t="str">
        <f t="shared" si="3"/>
        <v>Paraguay_United States</v>
      </c>
    </row>
    <row r="251" spans="1:12" x14ac:dyDescent="0.3">
      <c r="A251" s="12">
        <v>32666</v>
      </c>
      <c r="B251" s="13" t="s">
        <v>37</v>
      </c>
      <c r="C251" s="13"/>
      <c r="D251" s="13" t="s">
        <v>39</v>
      </c>
      <c r="E251" s="14">
        <v>3293</v>
      </c>
      <c r="F251" s="14">
        <v>3303</v>
      </c>
      <c r="G251" s="14">
        <v>3303</v>
      </c>
      <c r="H251" s="14">
        <v>3146</v>
      </c>
      <c r="I251" s="14">
        <v>2997</v>
      </c>
      <c r="J251" s="14">
        <v>2925</v>
      </c>
      <c r="K251" s="14">
        <v>3168</v>
      </c>
      <c r="L251" t="str">
        <f t="shared" si="3"/>
        <v>Paraguay_Uruguay</v>
      </c>
    </row>
    <row r="252" spans="1:12" x14ac:dyDescent="0.3">
      <c r="A252" s="9">
        <v>32718</v>
      </c>
      <c r="B252" s="10" t="s">
        <v>38</v>
      </c>
      <c r="C252" s="10"/>
      <c r="D252" s="10" t="s">
        <v>24</v>
      </c>
      <c r="E252" s="11">
        <v>7080</v>
      </c>
      <c r="F252" s="11">
        <v>7087</v>
      </c>
      <c r="G252" s="11">
        <v>8282</v>
      </c>
      <c r="H252" s="11">
        <v>9729</v>
      </c>
      <c r="I252" s="11">
        <v>11961</v>
      </c>
      <c r="J252" s="11">
        <v>14386</v>
      </c>
      <c r="K252" s="11">
        <v>26854</v>
      </c>
      <c r="L252" t="str">
        <f t="shared" si="3"/>
        <v>Peru_Argentina</v>
      </c>
    </row>
    <row r="253" spans="1:12" x14ac:dyDescent="0.3">
      <c r="A253" s="9">
        <v>32722</v>
      </c>
      <c r="B253" s="10" t="s">
        <v>38</v>
      </c>
      <c r="C253" s="10"/>
      <c r="D253" s="10" t="s">
        <v>1</v>
      </c>
      <c r="E253" s="11">
        <v>3569</v>
      </c>
      <c r="F253" s="11">
        <v>3572</v>
      </c>
      <c r="G253" s="11">
        <v>4174</v>
      </c>
      <c r="H253" s="11">
        <v>4904</v>
      </c>
      <c r="I253" s="11">
        <v>7026</v>
      </c>
      <c r="J253" s="11">
        <v>16767</v>
      </c>
      <c r="K253" s="11">
        <v>28165</v>
      </c>
      <c r="L253" t="str">
        <f t="shared" si="3"/>
        <v>Peru_Bolivia</v>
      </c>
    </row>
    <row r="254" spans="1:12" x14ac:dyDescent="0.3">
      <c r="A254" s="9">
        <v>32723</v>
      </c>
      <c r="B254" s="10" t="s">
        <v>38</v>
      </c>
      <c r="C254" s="10"/>
      <c r="D254" s="10" t="s">
        <v>25</v>
      </c>
      <c r="E254" s="11">
        <v>3030</v>
      </c>
      <c r="F254" s="11">
        <v>3033</v>
      </c>
      <c r="G254" s="11">
        <v>3545</v>
      </c>
      <c r="H254" s="11">
        <v>4164</v>
      </c>
      <c r="I254" s="11">
        <v>6193</v>
      </c>
      <c r="J254" s="11">
        <v>8817</v>
      </c>
      <c r="K254" s="11">
        <v>16458</v>
      </c>
      <c r="L254" t="str">
        <f t="shared" si="3"/>
        <v>Peru_Brazil</v>
      </c>
    </row>
    <row r="255" spans="1:12" x14ac:dyDescent="0.3">
      <c r="A255" s="9">
        <v>32725</v>
      </c>
      <c r="B255" s="10" t="s">
        <v>38</v>
      </c>
      <c r="C255" s="10"/>
      <c r="D255" s="10" t="s">
        <v>26</v>
      </c>
      <c r="E255" s="11">
        <v>762</v>
      </c>
      <c r="F255" s="11">
        <v>764</v>
      </c>
      <c r="G255" s="11">
        <v>893</v>
      </c>
      <c r="H255" s="11">
        <v>1049</v>
      </c>
      <c r="I255" s="11">
        <v>2063</v>
      </c>
      <c r="J255" s="11">
        <v>3062</v>
      </c>
      <c r="K255" s="11">
        <v>5714</v>
      </c>
      <c r="L255" t="str">
        <f t="shared" si="3"/>
        <v>Peru_Canada</v>
      </c>
    </row>
    <row r="256" spans="1:12" x14ac:dyDescent="0.3">
      <c r="A256" s="9">
        <v>32726</v>
      </c>
      <c r="B256" s="10" t="s">
        <v>38</v>
      </c>
      <c r="C256" s="10"/>
      <c r="D256" s="10" t="s">
        <v>27</v>
      </c>
      <c r="E256" s="11">
        <v>4479</v>
      </c>
      <c r="F256" s="11">
        <v>4483</v>
      </c>
      <c r="G256" s="11">
        <v>5239</v>
      </c>
      <c r="H256" s="11">
        <v>6155</v>
      </c>
      <c r="I256" s="11">
        <v>7564</v>
      </c>
      <c r="J256" s="11">
        <v>9437</v>
      </c>
      <c r="K256" s="11">
        <v>17615</v>
      </c>
      <c r="L256" t="str">
        <f t="shared" si="3"/>
        <v>Peru_Chile</v>
      </c>
    </row>
    <row r="257" spans="1:12" x14ac:dyDescent="0.3">
      <c r="A257" s="9">
        <v>32728</v>
      </c>
      <c r="B257" s="10" t="s">
        <v>38</v>
      </c>
      <c r="C257" s="10"/>
      <c r="D257" s="10" t="s">
        <v>28</v>
      </c>
      <c r="E257" s="11">
        <v>3702</v>
      </c>
      <c r="F257" s="11">
        <v>3706</v>
      </c>
      <c r="G257" s="11">
        <v>4331</v>
      </c>
      <c r="H257" s="11">
        <v>5087</v>
      </c>
      <c r="I257" s="11">
        <v>6454</v>
      </c>
      <c r="J257" s="11">
        <v>7599</v>
      </c>
      <c r="K257" s="11">
        <v>14182</v>
      </c>
      <c r="L257" t="str">
        <f t="shared" si="3"/>
        <v>Peru_Colombia</v>
      </c>
    </row>
    <row r="258" spans="1:12" x14ac:dyDescent="0.3">
      <c r="A258" s="9">
        <v>32729</v>
      </c>
      <c r="B258" s="10" t="s">
        <v>38</v>
      </c>
      <c r="C258" s="10"/>
      <c r="D258" s="10" t="s">
        <v>29</v>
      </c>
      <c r="E258" s="11">
        <v>209</v>
      </c>
      <c r="F258" s="11">
        <v>210</v>
      </c>
      <c r="G258" s="11">
        <v>246</v>
      </c>
      <c r="H258" s="11">
        <v>289</v>
      </c>
      <c r="I258" s="11">
        <v>323</v>
      </c>
      <c r="J258" s="11">
        <v>343</v>
      </c>
      <c r="K258" s="11">
        <v>638</v>
      </c>
      <c r="L258" t="str">
        <f t="shared" si="3"/>
        <v>Peru_Costa Rica</v>
      </c>
    </row>
    <row r="259" spans="1:12" x14ac:dyDescent="0.3">
      <c r="A259" s="9">
        <v>32735</v>
      </c>
      <c r="B259" s="10" t="s">
        <v>38</v>
      </c>
      <c r="C259" s="10"/>
      <c r="D259" s="10" t="s">
        <v>30</v>
      </c>
      <c r="E259" s="11">
        <v>2488</v>
      </c>
      <c r="F259" s="11">
        <v>2491</v>
      </c>
      <c r="G259" s="11">
        <v>2911</v>
      </c>
      <c r="H259" s="11">
        <v>3419</v>
      </c>
      <c r="I259" s="11">
        <v>5312</v>
      </c>
      <c r="J259" s="11">
        <v>6855</v>
      </c>
      <c r="K259" s="11">
        <v>12795</v>
      </c>
      <c r="L259" t="str">
        <f t="shared" ref="L259:L314" si="4">TRIM(B259)&amp;"_"&amp;TRIM(D259)</f>
        <v>Peru_Ecuador</v>
      </c>
    </row>
    <row r="260" spans="1:12" x14ac:dyDescent="0.3">
      <c r="A260" s="9">
        <v>32736</v>
      </c>
      <c r="B260" s="10" t="s">
        <v>38</v>
      </c>
      <c r="C260" s="10"/>
      <c r="D260" s="10" t="s">
        <v>31</v>
      </c>
      <c r="E260" s="11">
        <v>66</v>
      </c>
      <c r="F260" s="11">
        <v>67</v>
      </c>
      <c r="G260" s="11">
        <v>79</v>
      </c>
      <c r="H260" s="11">
        <v>93</v>
      </c>
      <c r="I260" s="11">
        <v>103</v>
      </c>
      <c r="J260" s="11">
        <v>110</v>
      </c>
      <c r="K260" s="11">
        <v>203</v>
      </c>
      <c r="L260" t="str">
        <f t="shared" si="4"/>
        <v>Peru_El Salvador</v>
      </c>
    </row>
    <row r="261" spans="1:12" x14ac:dyDescent="0.3">
      <c r="A261" s="9">
        <v>32743</v>
      </c>
      <c r="B261" s="10" t="s">
        <v>38</v>
      </c>
      <c r="C261" s="10"/>
      <c r="D261" s="10" t="s">
        <v>32</v>
      </c>
      <c r="E261" s="11">
        <v>100</v>
      </c>
      <c r="F261" s="11">
        <v>101</v>
      </c>
      <c r="G261" s="11">
        <v>119</v>
      </c>
      <c r="H261" s="11">
        <v>140</v>
      </c>
      <c r="I261" s="11">
        <v>156</v>
      </c>
      <c r="J261" s="11">
        <v>166</v>
      </c>
      <c r="K261" s="11">
        <v>308</v>
      </c>
      <c r="L261" t="str">
        <f t="shared" si="4"/>
        <v>Peru_Guatemala</v>
      </c>
    </row>
    <row r="262" spans="1:12" x14ac:dyDescent="0.3">
      <c r="A262" s="9">
        <v>32745</v>
      </c>
      <c r="B262" s="10" t="s">
        <v>38</v>
      </c>
      <c r="C262" s="10"/>
      <c r="D262" s="10" t="s">
        <v>33</v>
      </c>
      <c r="E262" s="11">
        <v>102</v>
      </c>
      <c r="F262" s="11">
        <v>103</v>
      </c>
      <c r="G262" s="11">
        <v>121</v>
      </c>
      <c r="H262" s="11">
        <v>142</v>
      </c>
      <c r="I262" s="11">
        <v>158</v>
      </c>
      <c r="J262" s="11">
        <v>168</v>
      </c>
      <c r="K262" s="11">
        <v>311</v>
      </c>
      <c r="L262" t="str">
        <f t="shared" si="4"/>
        <v>Peru_Honduras</v>
      </c>
    </row>
    <row r="263" spans="1:12" x14ac:dyDescent="0.3">
      <c r="A263" s="9">
        <v>32763</v>
      </c>
      <c r="B263" s="10" t="s">
        <v>38</v>
      </c>
      <c r="C263" s="10"/>
      <c r="D263" s="10" t="s">
        <v>34</v>
      </c>
      <c r="E263" s="11">
        <v>930</v>
      </c>
      <c r="F263" s="11">
        <v>931</v>
      </c>
      <c r="G263" s="11">
        <v>1088</v>
      </c>
      <c r="H263" s="11">
        <v>1278</v>
      </c>
      <c r="I263" s="11">
        <v>1928</v>
      </c>
      <c r="J263" s="11">
        <v>3294</v>
      </c>
      <c r="K263" s="11">
        <v>6148</v>
      </c>
      <c r="L263" t="str">
        <f t="shared" si="4"/>
        <v>Peru_Mexico</v>
      </c>
    </row>
    <row r="264" spans="1:12" x14ac:dyDescent="0.3">
      <c r="A264" s="9">
        <v>32767</v>
      </c>
      <c r="B264" s="10" t="s">
        <v>38</v>
      </c>
      <c r="C264" s="10"/>
      <c r="D264" s="10" t="s">
        <v>35</v>
      </c>
      <c r="E264" s="11">
        <v>99</v>
      </c>
      <c r="F264" s="11">
        <v>100</v>
      </c>
      <c r="G264" s="11">
        <v>117</v>
      </c>
      <c r="H264" s="11">
        <v>138</v>
      </c>
      <c r="I264" s="11">
        <v>154</v>
      </c>
      <c r="J264" s="11">
        <v>164</v>
      </c>
      <c r="K264" s="11">
        <v>303</v>
      </c>
      <c r="L264" t="str">
        <f t="shared" si="4"/>
        <v>Peru_Nicaragua</v>
      </c>
    </row>
    <row r="265" spans="1:12" x14ac:dyDescent="0.3">
      <c r="A265" s="9">
        <v>32770</v>
      </c>
      <c r="B265" s="10" t="s">
        <v>38</v>
      </c>
      <c r="C265" s="10"/>
      <c r="D265" s="10" t="s">
        <v>36</v>
      </c>
      <c r="E265" s="11">
        <v>214</v>
      </c>
      <c r="F265" s="11">
        <v>215</v>
      </c>
      <c r="G265" s="11">
        <v>252</v>
      </c>
      <c r="H265" s="11">
        <v>296</v>
      </c>
      <c r="I265" s="11">
        <v>330</v>
      </c>
      <c r="J265" s="11">
        <v>350</v>
      </c>
      <c r="K265" s="11">
        <v>644</v>
      </c>
      <c r="L265" t="str">
        <f t="shared" si="4"/>
        <v>Peru_Panama</v>
      </c>
    </row>
    <row r="266" spans="1:12" x14ac:dyDescent="0.3">
      <c r="A266" s="9">
        <v>32771</v>
      </c>
      <c r="B266" s="10" t="s">
        <v>38</v>
      </c>
      <c r="C266" s="10"/>
      <c r="D266" s="10" t="s">
        <v>37</v>
      </c>
      <c r="E266" s="11">
        <v>339</v>
      </c>
      <c r="F266" s="11">
        <v>340</v>
      </c>
      <c r="G266" s="11">
        <v>398</v>
      </c>
      <c r="H266" s="11">
        <v>468</v>
      </c>
      <c r="I266" s="11">
        <v>523</v>
      </c>
      <c r="J266" s="11">
        <v>555</v>
      </c>
      <c r="K266" s="11">
        <v>1034</v>
      </c>
      <c r="L266" t="str">
        <f t="shared" si="4"/>
        <v>Peru_Paraguay</v>
      </c>
    </row>
    <row r="267" spans="1:12" x14ac:dyDescent="0.3">
      <c r="A267" s="9">
        <v>32790</v>
      </c>
      <c r="B267" s="10" t="s">
        <v>38</v>
      </c>
      <c r="C267" s="10"/>
      <c r="D267" s="10" t="s">
        <v>16</v>
      </c>
      <c r="E267" s="11">
        <v>6146</v>
      </c>
      <c r="F267" s="11">
        <v>6151</v>
      </c>
      <c r="G267" s="11">
        <v>7188</v>
      </c>
      <c r="H267" s="11">
        <v>8444</v>
      </c>
      <c r="I267" s="11">
        <v>12739</v>
      </c>
      <c r="J267" s="11">
        <v>18958</v>
      </c>
      <c r="K267" s="11">
        <v>41292</v>
      </c>
      <c r="L267" t="str">
        <f t="shared" si="4"/>
        <v>Peru_United States</v>
      </c>
    </row>
    <row r="268" spans="1:12" x14ac:dyDescent="0.3">
      <c r="A268" s="9">
        <v>32791</v>
      </c>
      <c r="B268" s="10" t="s">
        <v>38</v>
      </c>
      <c r="C268" s="10"/>
      <c r="D268" s="10" t="s">
        <v>39</v>
      </c>
      <c r="E268" s="11">
        <v>389</v>
      </c>
      <c r="F268" s="11">
        <v>382</v>
      </c>
      <c r="G268" s="11">
        <v>447</v>
      </c>
      <c r="H268" s="11">
        <v>525</v>
      </c>
      <c r="I268" s="11">
        <v>587</v>
      </c>
      <c r="J268" s="11">
        <v>623</v>
      </c>
      <c r="K268" s="11">
        <v>1384</v>
      </c>
      <c r="L268" t="str">
        <f t="shared" si="4"/>
        <v>Peru_Uruguay</v>
      </c>
    </row>
    <row r="269" spans="1:12" x14ac:dyDescent="0.3">
      <c r="A269" s="9">
        <v>32792</v>
      </c>
      <c r="B269" s="10" t="s">
        <v>38</v>
      </c>
      <c r="C269" s="10"/>
      <c r="D269" s="10" t="s">
        <v>18</v>
      </c>
      <c r="E269" s="11">
        <v>2019</v>
      </c>
      <c r="F269" s="11">
        <v>2021</v>
      </c>
      <c r="G269" s="11">
        <v>2362</v>
      </c>
      <c r="H269" s="11">
        <v>2794</v>
      </c>
      <c r="I269" s="11">
        <v>3504</v>
      </c>
      <c r="J269" s="11">
        <v>4129</v>
      </c>
      <c r="K269" s="11">
        <v>941889</v>
      </c>
      <c r="L269" t="str">
        <f t="shared" si="4"/>
        <v>Peru_Venezuela</v>
      </c>
    </row>
    <row r="270" spans="1:12" x14ac:dyDescent="0.3">
      <c r="A270" s="9">
        <v>33863</v>
      </c>
      <c r="B270" s="10" t="s">
        <v>16</v>
      </c>
      <c r="C270" s="10">
        <v>33</v>
      </c>
      <c r="D270" s="10" t="s">
        <v>24</v>
      </c>
      <c r="E270" s="11">
        <v>92563</v>
      </c>
      <c r="F270" s="11">
        <v>110347</v>
      </c>
      <c r="G270" s="11">
        <v>128397</v>
      </c>
      <c r="H270" s="11">
        <v>152739</v>
      </c>
      <c r="I270" s="11">
        <v>182404</v>
      </c>
      <c r="J270" s="11">
        <v>199314</v>
      </c>
      <c r="K270" s="11">
        <v>219448</v>
      </c>
      <c r="L270" t="str">
        <f t="shared" si="4"/>
        <v>United States_Argentina</v>
      </c>
    </row>
    <row r="271" spans="1:12" x14ac:dyDescent="0.3">
      <c r="A271" s="9">
        <v>33876</v>
      </c>
      <c r="B271" s="10" t="s">
        <v>16</v>
      </c>
      <c r="C271" s="10">
        <v>33</v>
      </c>
      <c r="D271" s="10" t="s">
        <v>1</v>
      </c>
      <c r="E271" s="11">
        <v>31303</v>
      </c>
      <c r="F271" s="11">
        <v>42856</v>
      </c>
      <c r="G271" s="11">
        <v>54630</v>
      </c>
      <c r="H271" s="11">
        <v>66661</v>
      </c>
      <c r="I271" s="11">
        <v>81051</v>
      </c>
      <c r="J271" s="11">
        <v>86529</v>
      </c>
      <c r="K271" s="11">
        <v>80028</v>
      </c>
      <c r="L271" t="str">
        <f t="shared" si="4"/>
        <v>United States_Bolivia</v>
      </c>
    </row>
    <row r="272" spans="1:12" x14ac:dyDescent="0.3">
      <c r="A272" s="9">
        <v>33878</v>
      </c>
      <c r="B272" s="10" t="s">
        <v>16</v>
      </c>
      <c r="C272" s="10">
        <v>33</v>
      </c>
      <c r="D272" s="10" t="s">
        <v>25</v>
      </c>
      <c r="E272" s="11">
        <v>82489</v>
      </c>
      <c r="F272" s="11">
        <v>149432</v>
      </c>
      <c r="G272" s="11">
        <v>217822</v>
      </c>
      <c r="H272" s="11">
        <v>280274</v>
      </c>
      <c r="I272" s="11">
        <v>352957</v>
      </c>
      <c r="J272" s="11">
        <v>361374</v>
      </c>
      <c r="K272" s="11">
        <v>517519</v>
      </c>
      <c r="L272" t="str">
        <f t="shared" si="4"/>
        <v>United States_Brazil</v>
      </c>
    </row>
    <row r="273" spans="1:12" x14ac:dyDescent="0.3">
      <c r="A273" s="9">
        <v>33882</v>
      </c>
      <c r="B273" s="10" t="s">
        <v>16</v>
      </c>
      <c r="C273" s="10">
        <v>33</v>
      </c>
      <c r="D273" s="10" t="s">
        <v>26</v>
      </c>
      <c r="E273" s="11">
        <v>744830</v>
      </c>
      <c r="F273" s="11">
        <v>793278</v>
      </c>
      <c r="G273" s="11">
        <v>841612</v>
      </c>
      <c r="H273" s="11">
        <v>842344</v>
      </c>
      <c r="I273" s="11">
        <v>868967</v>
      </c>
      <c r="J273" s="11">
        <v>830628</v>
      </c>
      <c r="K273" s="11">
        <v>793897</v>
      </c>
      <c r="L273" t="str">
        <f t="shared" si="4"/>
        <v>United States_Canada</v>
      </c>
    </row>
    <row r="274" spans="1:12" x14ac:dyDescent="0.3">
      <c r="A274" s="9">
        <v>33884</v>
      </c>
      <c r="B274" s="10" t="s">
        <v>16</v>
      </c>
      <c r="C274" s="10">
        <v>33</v>
      </c>
      <c r="D274" s="10" t="s">
        <v>27</v>
      </c>
      <c r="E274" s="11">
        <v>55681</v>
      </c>
      <c r="F274" s="11">
        <v>69155</v>
      </c>
      <c r="G274" s="11">
        <v>82855</v>
      </c>
      <c r="H274" s="11">
        <v>87860</v>
      </c>
      <c r="I274" s="11">
        <v>95695</v>
      </c>
      <c r="J274" s="11">
        <v>106717</v>
      </c>
      <c r="K274" s="11">
        <v>89714</v>
      </c>
      <c r="L274" t="str">
        <f t="shared" si="4"/>
        <v>United States_Chile</v>
      </c>
    </row>
    <row r="275" spans="1:12" x14ac:dyDescent="0.3">
      <c r="A275" s="9">
        <v>33888</v>
      </c>
      <c r="B275" s="10" t="s">
        <v>16</v>
      </c>
      <c r="C275" s="10">
        <v>33</v>
      </c>
      <c r="D275" s="10" t="s">
        <v>28</v>
      </c>
      <c r="E275" s="11">
        <v>286124</v>
      </c>
      <c r="F275" s="11">
        <v>403325</v>
      </c>
      <c r="G275" s="11">
        <v>522819</v>
      </c>
      <c r="H275" s="11">
        <v>580965</v>
      </c>
      <c r="I275" s="11">
        <v>658465</v>
      </c>
      <c r="J275" s="11">
        <v>699399</v>
      </c>
      <c r="K275" s="11">
        <v>817604</v>
      </c>
      <c r="L275" t="str">
        <f t="shared" si="4"/>
        <v>United States_Colombia</v>
      </c>
    </row>
    <row r="276" spans="1:12" x14ac:dyDescent="0.3">
      <c r="A276" s="9">
        <v>33889</v>
      </c>
      <c r="B276" s="10" t="s">
        <v>16</v>
      </c>
      <c r="C276" s="10">
        <v>33</v>
      </c>
      <c r="D276" s="10" t="s">
        <v>29</v>
      </c>
      <c r="E276" s="11">
        <v>43530</v>
      </c>
      <c r="F276" s="11">
        <v>58472</v>
      </c>
      <c r="G276" s="11">
        <v>73694</v>
      </c>
      <c r="H276" s="11">
        <v>80856</v>
      </c>
      <c r="I276" s="11">
        <v>90687</v>
      </c>
      <c r="J276" s="11">
        <v>91939</v>
      </c>
      <c r="K276" s="11">
        <v>96903</v>
      </c>
      <c r="L276" t="str">
        <f t="shared" si="4"/>
        <v>United States_Costa Rica</v>
      </c>
    </row>
    <row r="277" spans="1:12" x14ac:dyDescent="0.3">
      <c r="A277" s="9">
        <v>33899</v>
      </c>
      <c r="B277" s="10" t="s">
        <v>16</v>
      </c>
      <c r="C277" s="10">
        <v>33</v>
      </c>
      <c r="D277" s="10" t="s">
        <v>30</v>
      </c>
      <c r="E277" s="11">
        <v>143314</v>
      </c>
      <c r="F277" s="11">
        <v>223927</v>
      </c>
      <c r="G277" s="11">
        <v>306208</v>
      </c>
      <c r="H277" s="11">
        <v>364358</v>
      </c>
      <c r="I277" s="11">
        <v>435209</v>
      </c>
      <c r="J277" s="11">
        <v>478039</v>
      </c>
      <c r="K277" s="11">
        <v>425294</v>
      </c>
      <c r="L277" t="str">
        <f t="shared" si="4"/>
        <v>United States_Ecuador</v>
      </c>
    </row>
    <row r="278" spans="1:12" x14ac:dyDescent="0.3">
      <c r="A278" s="9">
        <v>33901</v>
      </c>
      <c r="B278" s="10" t="s">
        <v>16</v>
      </c>
      <c r="C278" s="10">
        <v>33</v>
      </c>
      <c r="D278" s="10" t="s">
        <v>31</v>
      </c>
      <c r="E278" s="11">
        <v>465433</v>
      </c>
      <c r="F278" s="11">
        <v>649970</v>
      </c>
      <c r="G278" s="11">
        <v>838090</v>
      </c>
      <c r="H278" s="11">
        <v>997858</v>
      </c>
      <c r="I278" s="11">
        <v>1192423</v>
      </c>
      <c r="J278" s="11">
        <v>1352357</v>
      </c>
      <c r="K278" s="11">
        <v>1410659</v>
      </c>
      <c r="L278" t="str">
        <f t="shared" si="4"/>
        <v>United States_El Salvador</v>
      </c>
    </row>
    <row r="279" spans="1:12" x14ac:dyDescent="0.3">
      <c r="A279" s="9">
        <v>33914</v>
      </c>
      <c r="B279" s="10" t="s">
        <v>16</v>
      </c>
      <c r="C279" s="10">
        <v>33</v>
      </c>
      <c r="D279" s="10" t="s">
        <v>32</v>
      </c>
      <c r="E279" s="11">
        <v>225739</v>
      </c>
      <c r="F279" s="11">
        <v>357929</v>
      </c>
      <c r="G279" s="11">
        <v>492870</v>
      </c>
      <c r="H279" s="11">
        <v>643349</v>
      </c>
      <c r="I279" s="11">
        <v>817495</v>
      </c>
      <c r="J279" s="11">
        <v>991516</v>
      </c>
      <c r="K279" s="11">
        <v>1226849</v>
      </c>
      <c r="L279" t="str">
        <f t="shared" si="4"/>
        <v>United States_Guatemala</v>
      </c>
    </row>
    <row r="280" spans="1:12" x14ac:dyDescent="0.3">
      <c r="A280" s="9">
        <v>33918</v>
      </c>
      <c r="B280" s="10" t="s">
        <v>16</v>
      </c>
      <c r="C280" s="10">
        <v>33</v>
      </c>
      <c r="D280" s="10" t="s">
        <v>33</v>
      </c>
      <c r="E280" s="11">
        <v>108923</v>
      </c>
      <c r="F280" s="11">
        <v>198509</v>
      </c>
      <c r="G280" s="11">
        <v>290034</v>
      </c>
      <c r="H280" s="11">
        <v>383822</v>
      </c>
      <c r="I280" s="11">
        <v>491834</v>
      </c>
      <c r="J280" s="11">
        <v>607457</v>
      </c>
      <c r="K280" s="11">
        <v>773045</v>
      </c>
      <c r="L280" t="str">
        <f t="shared" si="4"/>
        <v>United States_Honduras</v>
      </c>
    </row>
    <row r="281" spans="1:12" x14ac:dyDescent="0.3">
      <c r="A281" s="9">
        <v>33945</v>
      </c>
      <c r="B281" s="10" t="s">
        <v>16</v>
      </c>
      <c r="C281" s="10">
        <v>33</v>
      </c>
      <c r="D281" s="10" t="s">
        <v>34</v>
      </c>
      <c r="E281" s="11">
        <v>4298014</v>
      </c>
      <c r="F281" s="11">
        <v>6827945</v>
      </c>
      <c r="G281" s="11">
        <v>9410529</v>
      </c>
      <c r="H281" s="11">
        <v>10611064</v>
      </c>
      <c r="I281" s="11">
        <v>12168662</v>
      </c>
      <c r="J281" s="11">
        <v>11643298</v>
      </c>
      <c r="K281" s="11">
        <v>10853105</v>
      </c>
      <c r="L281" t="str">
        <f t="shared" si="4"/>
        <v>United States_Mexico</v>
      </c>
    </row>
    <row r="282" spans="1:12" x14ac:dyDescent="0.3">
      <c r="A282" s="9">
        <v>33953</v>
      </c>
      <c r="B282" s="10" t="s">
        <v>16</v>
      </c>
      <c r="C282" s="10">
        <v>33</v>
      </c>
      <c r="D282" s="10" t="s">
        <v>35</v>
      </c>
      <c r="E282" s="11">
        <v>168659</v>
      </c>
      <c r="F282" s="11">
        <v>197100</v>
      </c>
      <c r="G282" s="11">
        <v>225929</v>
      </c>
      <c r="H282" s="11">
        <v>236243</v>
      </c>
      <c r="I282" s="11">
        <v>254081</v>
      </c>
      <c r="J282" s="11">
        <v>280437</v>
      </c>
      <c r="K282" s="11">
        <v>255008</v>
      </c>
      <c r="L282" t="str">
        <f t="shared" si="4"/>
        <v>United States_Nicaragua</v>
      </c>
    </row>
    <row r="283" spans="1:12" x14ac:dyDescent="0.3">
      <c r="A283" s="9">
        <v>33957</v>
      </c>
      <c r="B283" s="10" t="s">
        <v>16</v>
      </c>
      <c r="C283" s="10">
        <v>33</v>
      </c>
      <c r="D283" s="10" t="s">
        <v>36</v>
      </c>
      <c r="E283" s="11">
        <v>85737</v>
      </c>
      <c r="F283" s="11">
        <v>96734</v>
      </c>
      <c r="G283" s="11">
        <v>107847</v>
      </c>
      <c r="H283" s="11">
        <v>106087</v>
      </c>
      <c r="I283" s="11">
        <v>107540</v>
      </c>
      <c r="J283" s="11">
        <v>116055</v>
      </c>
      <c r="K283" s="11">
        <v>99764</v>
      </c>
      <c r="L283" t="str">
        <f t="shared" si="4"/>
        <v>United States_Panama</v>
      </c>
    </row>
    <row r="284" spans="1:12" x14ac:dyDescent="0.3">
      <c r="A284" s="9">
        <v>33958</v>
      </c>
      <c r="B284" s="10" t="s">
        <v>16</v>
      </c>
      <c r="C284" s="10">
        <v>33</v>
      </c>
      <c r="D284" s="10" t="s">
        <v>37</v>
      </c>
      <c r="E284" s="11">
        <v>6057</v>
      </c>
      <c r="F284" s="11">
        <v>9138</v>
      </c>
      <c r="G284" s="11">
        <v>12284</v>
      </c>
      <c r="H284" s="11">
        <v>21344</v>
      </c>
      <c r="I284" s="11">
        <v>31296</v>
      </c>
      <c r="J284" s="11">
        <v>31770</v>
      </c>
      <c r="K284" s="11">
        <v>46170</v>
      </c>
      <c r="L284" t="str">
        <f t="shared" si="4"/>
        <v>United States_Paraguay</v>
      </c>
    </row>
    <row r="285" spans="1:12" x14ac:dyDescent="0.3">
      <c r="A285" s="9">
        <v>33959</v>
      </c>
      <c r="B285" s="10" t="s">
        <v>16</v>
      </c>
      <c r="C285" s="10">
        <v>33</v>
      </c>
      <c r="D285" s="10" t="s">
        <v>38</v>
      </c>
      <c r="E285" s="11">
        <v>144199</v>
      </c>
      <c r="F285" s="11">
        <v>214019</v>
      </c>
      <c r="G285" s="11">
        <v>285249</v>
      </c>
      <c r="H285" s="11">
        <v>350703</v>
      </c>
      <c r="I285" s="11">
        <v>428629</v>
      </c>
      <c r="J285" s="11">
        <v>486643</v>
      </c>
      <c r="K285" s="11">
        <v>435868</v>
      </c>
      <c r="L285" t="str">
        <f t="shared" si="4"/>
        <v>United States_Peru</v>
      </c>
    </row>
    <row r="286" spans="1:12" x14ac:dyDescent="0.3">
      <c r="A286" s="9">
        <v>34000</v>
      </c>
      <c r="B286" s="10" t="s">
        <v>16</v>
      </c>
      <c r="C286" s="10">
        <v>33</v>
      </c>
      <c r="D286" s="10" t="s">
        <v>39</v>
      </c>
      <c r="E286" s="11">
        <v>20766</v>
      </c>
      <c r="F286" s="11">
        <v>23208</v>
      </c>
      <c r="G286" s="11">
        <v>25673</v>
      </c>
      <c r="H286" s="11">
        <v>37981</v>
      </c>
      <c r="I286" s="11">
        <v>51776</v>
      </c>
      <c r="J286" s="11">
        <v>52070</v>
      </c>
      <c r="K286" s="11">
        <v>50274</v>
      </c>
      <c r="L286" t="str">
        <f t="shared" si="4"/>
        <v>United States_Uruguay</v>
      </c>
    </row>
    <row r="287" spans="1:12" x14ac:dyDescent="0.3">
      <c r="A287" s="9">
        <v>34002</v>
      </c>
      <c r="B287" s="10" t="s">
        <v>16</v>
      </c>
      <c r="C287" s="10">
        <v>33</v>
      </c>
      <c r="D287" s="10" t="s">
        <v>18</v>
      </c>
      <c r="E287" s="11">
        <v>42119</v>
      </c>
      <c r="F287" s="11">
        <v>75572</v>
      </c>
      <c r="G287" s="11">
        <v>109748</v>
      </c>
      <c r="H287" s="11">
        <v>142706</v>
      </c>
      <c r="I287" s="11">
        <v>180905</v>
      </c>
      <c r="J287" s="11">
        <v>236264</v>
      </c>
      <c r="K287" s="11">
        <v>505647</v>
      </c>
      <c r="L287" t="str">
        <f t="shared" si="4"/>
        <v>United States_Venezuela</v>
      </c>
    </row>
    <row r="288" spans="1:12" x14ac:dyDescent="0.3">
      <c r="A288" s="9">
        <v>32895</v>
      </c>
      <c r="B288" s="10" t="s">
        <v>39</v>
      </c>
      <c r="C288" s="10"/>
      <c r="D288" s="10" t="s">
        <v>24</v>
      </c>
      <c r="E288" s="11">
        <v>14559</v>
      </c>
      <c r="F288" s="11">
        <v>17970</v>
      </c>
      <c r="G288" s="11">
        <v>21691</v>
      </c>
      <c r="H288" s="11">
        <v>25992</v>
      </c>
      <c r="I288" s="11">
        <v>26782</v>
      </c>
      <c r="J288" s="11">
        <v>27662</v>
      </c>
      <c r="K288" s="11">
        <v>33022</v>
      </c>
      <c r="L288" t="str">
        <f t="shared" si="4"/>
        <v>Uruguay_Argentina</v>
      </c>
    </row>
    <row r="289" spans="1:12" x14ac:dyDescent="0.3">
      <c r="A289" s="9">
        <v>32896</v>
      </c>
      <c r="B289" s="10" t="s">
        <v>39</v>
      </c>
      <c r="C289" s="10"/>
      <c r="D289" s="10" t="s">
        <v>25</v>
      </c>
      <c r="E289" s="11">
        <v>10581</v>
      </c>
      <c r="F289" s="11">
        <v>11084</v>
      </c>
      <c r="G289" s="11">
        <v>11507</v>
      </c>
      <c r="H289" s="11">
        <v>12923</v>
      </c>
      <c r="I289" s="11">
        <v>11978</v>
      </c>
      <c r="J289" s="11">
        <v>12369</v>
      </c>
      <c r="K289" s="11">
        <v>14762</v>
      </c>
      <c r="L289" t="str">
        <f t="shared" si="4"/>
        <v>Uruguay_Brazil</v>
      </c>
    </row>
    <row r="290" spans="1:12" x14ac:dyDescent="0.3">
      <c r="A290" s="9">
        <v>32897</v>
      </c>
      <c r="B290" s="10" t="s">
        <v>39</v>
      </c>
      <c r="C290" s="10"/>
      <c r="D290" s="10" t="s">
        <v>26</v>
      </c>
      <c r="E290" s="11">
        <v>427</v>
      </c>
      <c r="F290" s="11">
        <v>389</v>
      </c>
      <c r="G290" s="11">
        <v>355</v>
      </c>
      <c r="H290" s="11">
        <v>328</v>
      </c>
      <c r="I290" s="11">
        <v>304</v>
      </c>
      <c r="J290" s="11">
        <v>313</v>
      </c>
      <c r="K290" s="11">
        <v>372</v>
      </c>
      <c r="L290" t="str">
        <f t="shared" si="4"/>
        <v>Uruguay_Canada</v>
      </c>
    </row>
    <row r="291" spans="1:12" x14ac:dyDescent="0.3">
      <c r="A291" s="9">
        <v>32898</v>
      </c>
      <c r="B291" s="10" t="s">
        <v>39</v>
      </c>
      <c r="C291" s="10"/>
      <c r="D291" s="10" t="s">
        <v>27</v>
      </c>
      <c r="E291" s="11">
        <v>1161</v>
      </c>
      <c r="F291" s="11">
        <v>1299</v>
      </c>
      <c r="G291" s="11">
        <v>1455</v>
      </c>
      <c r="H291" s="11">
        <v>1347</v>
      </c>
      <c r="I291" s="11">
        <v>1248</v>
      </c>
      <c r="J291" s="11">
        <v>1288</v>
      </c>
      <c r="K291" s="11">
        <v>1536</v>
      </c>
      <c r="L291" t="str">
        <f t="shared" si="4"/>
        <v>Uruguay_Chile</v>
      </c>
    </row>
    <row r="292" spans="1:12" x14ac:dyDescent="0.3">
      <c r="A292" s="9">
        <v>32902</v>
      </c>
      <c r="B292" s="10" t="s">
        <v>39</v>
      </c>
      <c r="C292" s="10"/>
      <c r="D292" s="10" t="s">
        <v>34</v>
      </c>
      <c r="E292" s="11">
        <v>719</v>
      </c>
      <c r="F292" s="11">
        <v>657</v>
      </c>
      <c r="G292" s="11">
        <v>602</v>
      </c>
      <c r="H292" s="11">
        <v>557</v>
      </c>
      <c r="I292" s="11">
        <v>516</v>
      </c>
      <c r="J292" s="11">
        <v>532</v>
      </c>
      <c r="K292" s="11">
        <v>635</v>
      </c>
      <c r="L292" t="str">
        <f t="shared" si="4"/>
        <v>Uruguay_Mexico</v>
      </c>
    </row>
    <row r="293" spans="1:12" x14ac:dyDescent="0.3">
      <c r="A293" s="9">
        <v>32903</v>
      </c>
      <c r="B293" s="10" t="s">
        <v>39</v>
      </c>
      <c r="C293" s="10"/>
      <c r="D293" s="10" t="s">
        <v>37</v>
      </c>
      <c r="E293" s="11">
        <v>1241</v>
      </c>
      <c r="F293" s="11">
        <v>1199</v>
      </c>
      <c r="G293" s="11">
        <v>1160</v>
      </c>
      <c r="H293" s="11">
        <v>1074</v>
      </c>
      <c r="I293" s="11">
        <v>995</v>
      </c>
      <c r="J293" s="11">
        <v>1027</v>
      </c>
      <c r="K293" s="11">
        <v>1225</v>
      </c>
      <c r="L293" t="str">
        <f t="shared" si="4"/>
        <v>Uruguay_Paraguay</v>
      </c>
    </row>
    <row r="294" spans="1:12" x14ac:dyDescent="0.3">
      <c r="A294" s="9">
        <v>32904</v>
      </c>
      <c r="B294" s="10" t="s">
        <v>39</v>
      </c>
      <c r="C294" s="10"/>
      <c r="D294" s="10" t="s">
        <v>38</v>
      </c>
      <c r="E294" s="11">
        <v>555</v>
      </c>
      <c r="F294" s="11">
        <v>240</v>
      </c>
      <c r="G294" s="11">
        <v>104</v>
      </c>
      <c r="H294" s="11">
        <v>96</v>
      </c>
      <c r="I294" s="11">
        <v>88</v>
      </c>
      <c r="J294" s="11">
        <v>90</v>
      </c>
      <c r="K294" s="11">
        <v>106</v>
      </c>
      <c r="L294" t="str">
        <f t="shared" si="4"/>
        <v>Uruguay_Peru</v>
      </c>
    </row>
    <row r="295" spans="1:12" x14ac:dyDescent="0.3">
      <c r="A295" s="9">
        <v>32910</v>
      </c>
      <c r="B295" s="10" t="s">
        <v>39</v>
      </c>
      <c r="C295" s="10"/>
      <c r="D295" s="10" t="s">
        <v>16</v>
      </c>
      <c r="E295" s="11">
        <v>1525</v>
      </c>
      <c r="F295" s="11">
        <v>1036</v>
      </c>
      <c r="G295" s="11">
        <v>705</v>
      </c>
      <c r="H295" s="11">
        <v>652</v>
      </c>
      <c r="I295" s="11">
        <v>604</v>
      </c>
      <c r="J295" s="11">
        <v>623</v>
      </c>
      <c r="K295" s="11">
        <v>743</v>
      </c>
      <c r="L295" t="str">
        <f t="shared" si="4"/>
        <v>Uruguay_United States</v>
      </c>
    </row>
    <row r="296" spans="1:12" x14ac:dyDescent="0.3">
      <c r="A296" s="9">
        <v>32911</v>
      </c>
      <c r="B296" s="10" t="s">
        <v>39</v>
      </c>
      <c r="C296" s="10"/>
      <c r="D296" s="10" t="s">
        <v>18</v>
      </c>
      <c r="E296" s="11">
        <v>773</v>
      </c>
      <c r="F296" s="11">
        <v>713</v>
      </c>
      <c r="G296" s="11">
        <v>659</v>
      </c>
      <c r="H296" s="11">
        <v>610</v>
      </c>
      <c r="I296" s="11">
        <v>565</v>
      </c>
      <c r="J296" s="11">
        <v>583</v>
      </c>
      <c r="K296" s="11">
        <v>14908</v>
      </c>
      <c r="L296" t="str">
        <f t="shared" si="4"/>
        <v>Uruguay_Venezuela</v>
      </c>
    </row>
    <row r="297" spans="1:12" x14ac:dyDescent="0.3">
      <c r="A297" s="12">
        <v>32964</v>
      </c>
      <c r="B297" s="13" t="s">
        <v>18</v>
      </c>
      <c r="C297" s="13"/>
      <c r="D297" s="13" t="s">
        <v>24</v>
      </c>
      <c r="E297" s="14">
        <v>9483</v>
      </c>
      <c r="F297" s="14">
        <v>9138</v>
      </c>
      <c r="G297" s="14">
        <v>8724</v>
      </c>
      <c r="H297" s="14">
        <v>9078</v>
      </c>
      <c r="I297" s="14">
        <v>9542</v>
      </c>
      <c r="J297" s="14">
        <v>9944</v>
      </c>
      <c r="K297" s="14">
        <v>9374</v>
      </c>
      <c r="L297" t="str">
        <f t="shared" si="4"/>
        <v>Venezuela_Argentina</v>
      </c>
    </row>
    <row r="298" spans="1:12" x14ac:dyDescent="0.3">
      <c r="A298" s="12">
        <v>32970</v>
      </c>
      <c r="B298" s="13" t="s">
        <v>18</v>
      </c>
      <c r="C298" s="13"/>
      <c r="D298" s="13" t="s">
        <v>1</v>
      </c>
      <c r="E298" s="14">
        <v>2224</v>
      </c>
      <c r="F298" s="14">
        <v>2031</v>
      </c>
      <c r="G298" s="14">
        <v>1838</v>
      </c>
      <c r="H298" s="14">
        <v>1864</v>
      </c>
      <c r="I298" s="14">
        <v>1910</v>
      </c>
      <c r="J298" s="14">
        <v>1967</v>
      </c>
      <c r="K298" s="14">
        <v>1853</v>
      </c>
      <c r="L298" t="str">
        <f t="shared" si="4"/>
        <v>Venezuela_Bolivia</v>
      </c>
    </row>
    <row r="299" spans="1:12" x14ac:dyDescent="0.3">
      <c r="A299" s="12">
        <v>32972</v>
      </c>
      <c r="B299" s="13" t="s">
        <v>18</v>
      </c>
      <c r="C299" s="13"/>
      <c r="D299" s="13" t="s">
        <v>25</v>
      </c>
      <c r="E299" s="14">
        <v>4323</v>
      </c>
      <c r="F299" s="14">
        <v>4590</v>
      </c>
      <c r="G299" s="14">
        <v>4828</v>
      </c>
      <c r="H299" s="14">
        <v>5214</v>
      </c>
      <c r="I299" s="14">
        <v>5689</v>
      </c>
      <c r="J299" s="14">
        <v>6026</v>
      </c>
      <c r="K299" s="14">
        <v>5680</v>
      </c>
      <c r="L299" t="str">
        <f t="shared" si="4"/>
        <v>Venezuela_Brazil</v>
      </c>
    </row>
    <row r="300" spans="1:12" x14ac:dyDescent="0.3">
      <c r="A300" s="12">
        <v>32975</v>
      </c>
      <c r="B300" s="13" t="s">
        <v>18</v>
      </c>
      <c r="C300" s="13"/>
      <c r="D300" s="13" t="s">
        <v>26</v>
      </c>
      <c r="E300" s="14">
        <v>981</v>
      </c>
      <c r="F300" s="14">
        <v>977</v>
      </c>
      <c r="G300" s="14">
        <v>964</v>
      </c>
      <c r="H300" s="14">
        <v>1016</v>
      </c>
      <c r="I300" s="14">
        <v>1083</v>
      </c>
      <c r="J300" s="14">
        <v>1136</v>
      </c>
      <c r="K300" s="14">
        <v>1070</v>
      </c>
      <c r="L300" t="str">
        <f t="shared" si="4"/>
        <v>Venezuela_Canada</v>
      </c>
    </row>
    <row r="301" spans="1:12" x14ac:dyDescent="0.3">
      <c r="A301" s="12">
        <v>32976</v>
      </c>
      <c r="B301" s="13" t="s">
        <v>18</v>
      </c>
      <c r="C301" s="13"/>
      <c r="D301" s="13" t="s">
        <v>27</v>
      </c>
      <c r="E301" s="14">
        <v>22198</v>
      </c>
      <c r="F301" s="14">
        <v>18675</v>
      </c>
      <c r="G301" s="14">
        <v>15733</v>
      </c>
      <c r="H301" s="14">
        <v>15347</v>
      </c>
      <c r="I301" s="14">
        <v>15123</v>
      </c>
      <c r="J301" s="14">
        <v>15263</v>
      </c>
      <c r="K301" s="14">
        <v>14390</v>
      </c>
      <c r="L301" t="str">
        <f t="shared" si="4"/>
        <v>Venezuela_Chile</v>
      </c>
    </row>
    <row r="302" spans="1:12" x14ac:dyDescent="0.3">
      <c r="A302" s="12">
        <v>32978</v>
      </c>
      <c r="B302" s="13" t="s">
        <v>18</v>
      </c>
      <c r="C302" s="13"/>
      <c r="D302" s="13" t="s">
        <v>28</v>
      </c>
      <c r="E302" s="14">
        <v>555578</v>
      </c>
      <c r="F302" s="14">
        <v>588323</v>
      </c>
      <c r="G302" s="14">
        <v>617257</v>
      </c>
      <c r="H302" s="14">
        <v>672292</v>
      </c>
      <c r="I302" s="14">
        <v>929944</v>
      </c>
      <c r="J302" s="14">
        <v>973315</v>
      </c>
      <c r="K302" s="14">
        <v>917753</v>
      </c>
      <c r="L302" t="str">
        <f t="shared" si="4"/>
        <v>Venezuela_Colombia</v>
      </c>
    </row>
    <row r="303" spans="1:12" x14ac:dyDescent="0.3">
      <c r="A303" s="12">
        <v>32979</v>
      </c>
      <c r="B303" s="13" t="s">
        <v>18</v>
      </c>
      <c r="C303" s="13"/>
      <c r="D303" s="13" t="s">
        <v>29</v>
      </c>
      <c r="E303" s="14">
        <v>1661</v>
      </c>
      <c r="F303" s="14">
        <v>1405</v>
      </c>
      <c r="G303" s="14">
        <v>1178</v>
      </c>
      <c r="H303" s="14">
        <v>1142</v>
      </c>
      <c r="I303" s="14">
        <v>1120</v>
      </c>
      <c r="J303" s="14">
        <v>1127</v>
      </c>
      <c r="K303" s="14">
        <v>1061</v>
      </c>
      <c r="L303" t="str">
        <f t="shared" si="4"/>
        <v>Venezuela_Costa Rica</v>
      </c>
    </row>
    <row r="304" spans="1:12" x14ac:dyDescent="0.3">
      <c r="A304" s="12">
        <v>32987</v>
      </c>
      <c r="B304" s="13" t="s">
        <v>18</v>
      </c>
      <c r="C304" s="13"/>
      <c r="D304" s="13" t="s">
        <v>30</v>
      </c>
      <c r="E304" s="14">
        <v>24600</v>
      </c>
      <c r="F304" s="14">
        <v>26835</v>
      </c>
      <c r="G304" s="14">
        <v>28999</v>
      </c>
      <c r="H304" s="14">
        <v>31597</v>
      </c>
      <c r="I304" s="14">
        <v>34782</v>
      </c>
      <c r="J304" s="14">
        <v>36973</v>
      </c>
      <c r="K304" s="14">
        <v>34858</v>
      </c>
      <c r="L304" t="str">
        <f t="shared" si="4"/>
        <v>Venezuela_Ecuador</v>
      </c>
    </row>
    <row r="305" spans="1:12" x14ac:dyDescent="0.3">
      <c r="A305" s="12">
        <v>32988</v>
      </c>
      <c r="B305" s="13" t="s">
        <v>18</v>
      </c>
      <c r="C305" s="13"/>
      <c r="D305" s="13" t="s">
        <v>31</v>
      </c>
      <c r="E305" s="14">
        <v>1017</v>
      </c>
      <c r="F305" s="14">
        <v>965</v>
      </c>
      <c r="G305" s="14">
        <v>908</v>
      </c>
      <c r="H305" s="14">
        <v>937</v>
      </c>
      <c r="I305" s="14">
        <v>978</v>
      </c>
      <c r="J305" s="14">
        <v>1015</v>
      </c>
      <c r="K305" s="14">
        <v>956</v>
      </c>
      <c r="L305" t="str">
        <f t="shared" si="4"/>
        <v>Venezuela_El Salvador</v>
      </c>
    </row>
    <row r="306" spans="1:12" x14ac:dyDescent="0.3">
      <c r="A306" s="12">
        <v>33001</v>
      </c>
      <c r="B306" s="13" t="s">
        <v>18</v>
      </c>
      <c r="C306" s="13"/>
      <c r="D306" s="13" t="s">
        <v>32</v>
      </c>
      <c r="E306" s="14">
        <v>579</v>
      </c>
      <c r="F306" s="14">
        <v>501</v>
      </c>
      <c r="G306" s="14">
        <v>433</v>
      </c>
      <c r="H306" s="14">
        <v>425</v>
      </c>
      <c r="I306" s="14">
        <v>422</v>
      </c>
      <c r="J306" s="14">
        <v>428</v>
      </c>
      <c r="K306" s="14">
        <v>402</v>
      </c>
      <c r="L306" t="str">
        <f t="shared" si="4"/>
        <v>Venezuela_Guatemala</v>
      </c>
    </row>
    <row r="307" spans="1:12" x14ac:dyDescent="0.3">
      <c r="A307" s="12">
        <v>33004</v>
      </c>
      <c r="B307" s="13" t="s">
        <v>18</v>
      </c>
      <c r="C307" s="13"/>
      <c r="D307" s="13" t="s">
        <v>33</v>
      </c>
      <c r="E307" s="14">
        <v>437</v>
      </c>
      <c r="F307" s="14">
        <v>369</v>
      </c>
      <c r="G307" s="14">
        <v>309</v>
      </c>
      <c r="H307" s="14">
        <v>299</v>
      </c>
      <c r="I307" s="14">
        <v>293</v>
      </c>
      <c r="J307" s="14">
        <v>294</v>
      </c>
      <c r="K307" s="14">
        <v>275</v>
      </c>
      <c r="L307" t="str">
        <f t="shared" si="4"/>
        <v>Venezuela_Honduras</v>
      </c>
    </row>
    <row r="308" spans="1:12" x14ac:dyDescent="0.3">
      <c r="A308" s="12">
        <v>33026</v>
      </c>
      <c r="B308" s="13" t="s">
        <v>18</v>
      </c>
      <c r="C308" s="13"/>
      <c r="D308" s="13" t="s">
        <v>34</v>
      </c>
      <c r="E308" s="14">
        <v>2886</v>
      </c>
      <c r="F308" s="14">
        <v>3012</v>
      </c>
      <c r="G308" s="14">
        <v>3115</v>
      </c>
      <c r="H308" s="14">
        <v>3344</v>
      </c>
      <c r="I308" s="14">
        <v>3627</v>
      </c>
      <c r="J308" s="14">
        <v>3831</v>
      </c>
      <c r="K308" s="14">
        <v>3610</v>
      </c>
      <c r="L308" t="str">
        <f t="shared" si="4"/>
        <v>Venezuela_Mexico</v>
      </c>
    </row>
    <row r="309" spans="1:12" x14ac:dyDescent="0.3">
      <c r="A309" s="12">
        <v>33036</v>
      </c>
      <c r="B309" s="13" t="s">
        <v>18</v>
      </c>
      <c r="C309" s="13"/>
      <c r="D309" s="13" t="s">
        <v>35</v>
      </c>
      <c r="E309" s="14">
        <v>2526</v>
      </c>
      <c r="F309" s="14">
        <v>2193</v>
      </c>
      <c r="G309" s="14">
        <v>1934</v>
      </c>
      <c r="H309" s="14">
        <v>1953</v>
      </c>
      <c r="I309" s="14">
        <v>1992</v>
      </c>
      <c r="J309" s="14">
        <v>2045</v>
      </c>
      <c r="K309" s="14">
        <v>1927</v>
      </c>
      <c r="L309" t="str">
        <f t="shared" si="4"/>
        <v>Venezuela_Nicaragua</v>
      </c>
    </row>
    <row r="310" spans="1:12" x14ac:dyDescent="0.3">
      <c r="A310" s="12">
        <v>33040</v>
      </c>
      <c r="B310" s="13" t="s">
        <v>18</v>
      </c>
      <c r="C310" s="13"/>
      <c r="D310" s="13" t="s">
        <v>36</v>
      </c>
      <c r="E310" s="14">
        <v>1470</v>
      </c>
      <c r="F310" s="14">
        <v>1203</v>
      </c>
      <c r="G310" s="14">
        <v>976</v>
      </c>
      <c r="H310" s="14">
        <v>925</v>
      </c>
      <c r="I310" s="14">
        <v>886</v>
      </c>
      <c r="J310" s="14">
        <v>880</v>
      </c>
      <c r="K310" s="14">
        <v>828</v>
      </c>
      <c r="L310" t="str">
        <f t="shared" si="4"/>
        <v>Venezuela_Panama</v>
      </c>
    </row>
    <row r="311" spans="1:12" x14ac:dyDescent="0.3">
      <c r="A311" s="12">
        <v>33041</v>
      </c>
      <c r="B311" s="13" t="s">
        <v>18</v>
      </c>
      <c r="C311" s="13"/>
      <c r="D311" s="13" t="s">
        <v>37</v>
      </c>
      <c r="E311" s="14">
        <v>359</v>
      </c>
      <c r="F311" s="14">
        <v>294</v>
      </c>
      <c r="G311" s="14">
        <v>239</v>
      </c>
      <c r="H311" s="14">
        <v>226</v>
      </c>
      <c r="I311" s="14">
        <v>217</v>
      </c>
      <c r="J311" s="14">
        <v>214</v>
      </c>
      <c r="K311" s="14">
        <v>200</v>
      </c>
      <c r="L311" t="str">
        <f t="shared" si="4"/>
        <v>Venezuela_Paraguay</v>
      </c>
    </row>
    <row r="312" spans="1:12" x14ac:dyDescent="0.3">
      <c r="A312" s="12">
        <v>33042</v>
      </c>
      <c r="B312" s="13" t="s">
        <v>18</v>
      </c>
      <c r="C312" s="13"/>
      <c r="D312" s="13" t="s">
        <v>38</v>
      </c>
      <c r="E312" s="14">
        <v>29635</v>
      </c>
      <c r="F312" s="14">
        <v>32973</v>
      </c>
      <c r="G312" s="14">
        <v>36348</v>
      </c>
      <c r="H312" s="14">
        <v>39846</v>
      </c>
      <c r="I312" s="14">
        <v>44126</v>
      </c>
      <c r="J312" s="14">
        <v>47007</v>
      </c>
      <c r="K312" s="14">
        <v>44319</v>
      </c>
      <c r="L312" t="str">
        <f t="shared" si="4"/>
        <v>Venezuela_Peru</v>
      </c>
    </row>
    <row r="313" spans="1:12" x14ac:dyDescent="0.3">
      <c r="A313" s="12">
        <v>33072</v>
      </c>
      <c r="B313" s="13" t="s">
        <v>18</v>
      </c>
      <c r="C313" s="13"/>
      <c r="D313" s="13" t="s">
        <v>16</v>
      </c>
      <c r="E313" s="14">
        <v>11639</v>
      </c>
      <c r="F313" s="14">
        <v>10925</v>
      </c>
      <c r="G313" s="14">
        <v>10159</v>
      </c>
      <c r="H313" s="14">
        <v>10445</v>
      </c>
      <c r="I313" s="14">
        <v>10848</v>
      </c>
      <c r="J313" s="14">
        <v>11242</v>
      </c>
      <c r="K313" s="14">
        <v>10598</v>
      </c>
      <c r="L313" t="str">
        <f t="shared" si="4"/>
        <v>Venezuela_United States</v>
      </c>
    </row>
    <row r="314" spans="1:12" x14ac:dyDescent="0.3">
      <c r="A314" s="12">
        <v>33073</v>
      </c>
      <c r="B314" s="13" t="s">
        <v>18</v>
      </c>
      <c r="C314" s="13"/>
      <c r="D314" s="13" t="s">
        <v>39</v>
      </c>
      <c r="E314" s="14">
        <v>6076</v>
      </c>
      <c r="F314" s="14">
        <v>5364</v>
      </c>
      <c r="G314" s="14">
        <v>4692</v>
      </c>
      <c r="H314" s="14">
        <v>4672</v>
      </c>
      <c r="I314" s="14">
        <v>4700</v>
      </c>
      <c r="J314" s="14">
        <v>4795</v>
      </c>
      <c r="K314" s="14">
        <v>4519</v>
      </c>
      <c r="L314" t="str">
        <f t="shared" si="4"/>
        <v>Venezuela_Uruguay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Matrix_2000</vt:lpstr>
      <vt:lpstr>UNDESA_Data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2026-04-04T09:33:09Z</dcterms:created>
  <dcterms:modified xsi:type="dcterms:W3CDTF">2026-04-05T11:17:40Z</dcterms:modified>
</cp:coreProperties>
</file>